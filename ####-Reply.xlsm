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D:\5433-JFR\5433\"/>
    </mc:Choice>
  </mc:AlternateContent>
  <xr:revisionPtr revIDLastSave="0" documentId="13_ncr:1_{E476A17F-CBA8-404C-8B03-DBE6E177A651}" xr6:coauthVersionLast="47" xr6:coauthVersionMax="47" xr10:uidLastSave="{00000000-0000-0000-0000-000000000000}"/>
  <bookViews>
    <workbookView xWindow="-110" yWindow="-110" windowWidth="19420" windowHeight="10300" tabRatio="912" firstSheet="2" activeTab="12" xr2:uid="{B96BFECF-C5A2-4D83-B43C-315E60CCAEBF}"/>
  </bookViews>
  <sheets>
    <sheet name="E-Blast" sheetId="22" r:id="rId1"/>
    <sheet name="WAF-Whitelisting" sheetId="29" r:id="rId2"/>
    <sheet name="IDR Daily-Template" sheetId="16" r:id="rId3"/>
    <sheet name="SETTING" sheetId="3" state="veryHidden" r:id="rId4"/>
    <sheet name="SUMMARY" sheetId="8" r:id="rId5"/>
    <sheet name="E-TEMPLATE" sheetId="1" r:id="rId6"/>
    <sheet name="Firewall" sheetId="19" state="hidden" r:id="rId7"/>
    <sheet name="Request" sheetId="25" r:id="rId8"/>
    <sheet name="DETAILS" sheetId="2" r:id="rId9"/>
    <sheet name="WAF" sheetId="24" r:id="rId10"/>
    <sheet name="Linux" sheetId="18" r:id="rId11"/>
    <sheet name="Brute Force" sheetId="5" r:id="rId12"/>
    <sheet name="IPS" sheetId="28" r:id="rId13"/>
    <sheet name="Lateral Movement" sheetId="6" r:id="rId14"/>
    <sheet name="Harvested Credentials" sheetId="7" r:id="rId15"/>
    <sheet name="Multiple Country Authentication" sheetId="10" r:id="rId16"/>
    <sheet name="Virus Alert" sheetId="9" r:id="rId17"/>
    <sheet name="For-SUAM" sheetId="23" r:id="rId18"/>
  </sheets>
  <definedNames>
    <definedName name="_xlnm._FilterDatabase" localSheetId="8" hidden="1">DETAILS!$A$1:$J$3016</definedName>
    <definedName name="_xlnm._FilterDatabase" localSheetId="0" hidden="1">'E-Blast'!$A$1:$D$1</definedName>
    <definedName name="_xlnm._FilterDatabase" localSheetId="10" hidden="1">Linux!$A$2:$L$2</definedName>
    <definedName name="_xlnm._FilterDatabase" localSheetId="3" hidden="1">SETTING!$AA$1:$AC$250</definedName>
    <definedName name="_xlnm._FilterDatabase" localSheetId="16" hidden="1">'Virus Alert'!$A$1:$L$1</definedName>
    <definedName name="_xlnm._FilterDatabase" localSheetId="9" hidden="1">WAF!$A$1:$O$2659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Y4" i="8" l="1"/>
  <c r="Z4" i="8"/>
  <c r="Y5" i="8"/>
  <c r="Z5" i="8"/>
  <c r="Y6" i="8"/>
  <c r="Z6" i="8"/>
  <c r="Y7" i="8"/>
  <c r="Z7" i="8"/>
  <c r="Y8" i="8"/>
  <c r="Z8" i="8"/>
  <c r="Y9" i="8"/>
  <c r="Z9" i="8"/>
  <c r="Y10" i="8"/>
  <c r="Z10" i="8"/>
  <c r="Y11" i="8"/>
  <c r="Z11" i="8"/>
  <c r="Y12" i="8"/>
  <c r="Z12" i="8"/>
  <c r="Y13" i="8"/>
  <c r="Z13" i="8"/>
  <c r="Y14" i="8"/>
  <c r="Z14" i="8"/>
  <c r="Y15" i="8"/>
  <c r="Z15" i="8"/>
  <c r="Y16" i="8"/>
  <c r="Z16" i="8"/>
  <c r="Y17" i="8"/>
  <c r="Z17" i="8"/>
  <c r="Y18" i="8"/>
  <c r="Z18" i="8"/>
  <c r="Y19" i="8"/>
  <c r="Z19" i="8"/>
  <c r="Y20" i="8"/>
  <c r="Z20" i="8"/>
  <c r="Y21" i="8"/>
  <c r="Z21" i="8"/>
  <c r="Y22" i="8"/>
  <c r="Z22" i="8"/>
  <c r="Z3" i="8"/>
  <c r="X3" i="8"/>
  <c r="Y3" i="8"/>
  <c r="W3" i="8"/>
  <c r="Y23" i="8" l="1"/>
  <c r="Z23" i="8"/>
  <c r="Y24" i="8" l="1"/>
  <c r="AM7" i="8" l="1"/>
  <c r="AH15" i="8" l="1"/>
  <c r="B40" i="16" l="1"/>
  <c r="C40" i="16"/>
  <c r="K38" i="8" l="1"/>
  <c r="K37" i="8"/>
  <c r="P3" i="8" l="1"/>
  <c r="O3" i="8"/>
  <c r="B4" i="8"/>
  <c r="B5" i="8"/>
  <c r="B6" i="8"/>
  <c r="B7" i="8"/>
  <c r="B8" i="8"/>
  <c r="B9" i="8"/>
  <c r="B10" i="8"/>
  <c r="B11" i="8"/>
  <c r="B12" i="8"/>
  <c r="B13" i="8"/>
  <c r="B14" i="8"/>
  <c r="B15" i="8"/>
  <c r="B16" i="8"/>
  <c r="B17" i="8"/>
  <c r="B18" i="8"/>
  <c r="B19" i="8"/>
  <c r="B20" i="8"/>
  <c r="B21" i="8"/>
  <c r="B22" i="8"/>
  <c r="B3" i="8"/>
  <c r="B23" i="8" l="1"/>
  <c r="D26" i="16" l="1"/>
  <c r="E26" i="16" s="1"/>
  <c r="D39" i="16" l="1"/>
  <c r="AC9" i="8"/>
  <c r="D21" i="16"/>
  <c r="E21" i="16" s="1"/>
  <c r="E39" i="16" l="1"/>
  <c r="D7" i="16"/>
  <c r="E7" i="16" s="1"/>
  <c r="D8" i="16"/>
  <c r="E8" i="16" s="1"/>
  <c r="D20" i="16" l="1"/>
  <c r="E20" i="16" s="1"/>
  <c r="D19" i="16" l="1"/>
  <c r="E19" i="16" s="1"/>
  <c r="D5" i="16" l="1"/>
  <c r="D6" i="16"/>
  <c r="D9" i="16"/>
  <c r="D10" i="16"/>
  <c r="D11" i="16"/>
  <c r="D12" i="16"/>
  <c r="D13" i="16"/>
  <c r="D14" i="16"/>
  <c r="D15" i="16"/>
  <c r="D16" i="16"/>
  <c r="D17" i="16"/>
  <c r="D18" i="16"/>
  <c r="E18" i="16" s="1"/>
  <c r="D22" i="16"/>
  <c r="D23" i="16"/>
  <c r="D24" i="16"/>
  <c r="D25" i="16"/>
  <c r="D27" i="16"/>
  <c r="D28" i="16"/>
  <c r="D29" i="16"/>
  <c r="D30" i="16"/>
  <c r="D31" i="16"/>
  <c r="D32" i="16"/>
  <c r="D33" i="16"/>
  <c r="D34" i="16"/>
  <c r="D35" i="16"/>
  <c r="D36" i="16"/>
  <c r="D37" i="16"/>
  <c r="D38" i="16"/>
  <c r="D40" i="16" l="1"/>
  <c r="R3" i="8"/>
  <c r="R4" i="8"/>
  <c r="R5" i="8"/>
  <c r="R6" i="8"/>
  <c r="R7" i="8"/>
  <c r="R8" i="8"/>
  <c r="R9" i="8"/>
  <c r="R10" i="8"/>
  <c r="R11" i="8"/>
  <c r="R12" i="8"/>
  <c r="R13" i="8"/>
  <c r="R14" i="8"/>
  <c r="R15" i="8"/>
  <c r="R16" i="8"/>
  <c r="R17" i="8"/>
  <c r="R18" i="8"/>
  <c r="R19" i="8"/>
  <c r="R20" i="8"/>
  <c r="R21" i="8"/>
  <c r="R22" i="8"/>
  <c r="Q3" i="8"/>
  <c r="Q4" i="8"/>
  <c r="Q5" i="8"/>
  <c r="Q6" i="8"/>
  <c r="Q7" i="8"/>
  <c r="Q8" i="8"/>
  <c r="Q9" i="8"/>
  <c r="Q10" i="8"/>
  <c r="Q11" i="8"/>
  <c r="Q12" i="8"/>
  <c r="Q13" i="8"/>
  <c r="Q14" i="8"/>
  <c r="Q15" i="8"/>
  <c r="Q16" i="8"/>
  <c r="Q17" i="8"/>
  <c r="Q18" i="8"/>
  <c r="Q19" i="8"/>
  <c r="Q20" i="8"/>
  <c r="Q21" i="8"/>
  <c r="Q22" i="8"/>
  <c r="S3" i="8"/>
  <c r="T3" i="8"/>
  <c r="U3" i="8"/>
  <c r="V3" i="8"/>
  <c r="AA3" i="8"/>
  <c r="AB3" i="8"/>
  <c r="AC3" i="8"/>
  <c r="AD3" i="8"/>
  <c r="AE3" i="8"/>
  <c r="AF3" i="8"/>
  <c r="AG3" i="8"/>
  <c r="AH3" i="8"/>
  <c r="AI3" i="8"/>
  <c r="AJ3" i="8"/>
  <c r="AK3" i="8"/>
  <c r="AL3" i="8"/>
  <c r="AM3" i="8"/>
  <c r="AN3" i="8"/>
  <c r="E5" i="16"/>
  <c r="E6" i="16"/>
  <c r="E9" i="16"/>
  <c r="E10" i="16"/>
  <c r="E11" i="16"/>
  <c r="E12" i="16"/>
  <c r="E13" i="16"/>
  <c r="E14" i="16"/>
  <c r="E15" i="16"/>
  <c r="E16" i="16"/>
  <c r="E17" i="16"/>
  <c r="E22" i="16"/>
  <c r="E23" i="16"/>
  <c r="E24" i="16"/>
  <c r="E25" i="16"/>
  <c r="E27" i="16"/>
  <c r="E28" i="16"/>
  <c r="E29" i="16"/>
  <c r="E30" i="16"/>
  <c r="E31" i="16"/>
  <c r="E32" i="16"/>
  <c r="E33" i="16"/>
  <c r="E34" i="16"/>
  <c r="E35" i="16"/>
  <c r="E36" i="16"/>
  <c r="E37" i="16"/>
  <c r="E38" i="16"/>
  <c r="J13" i="8"/>
  <c r="K13" i="8"/>
  <c r="L13" i="8"/>
  <c r="M13" i="8"/>
  <c r="O13" i="8"/>
  <c r="P13" i="8"/>
  <c r="S13" i="8"/>
  <c r="T13" i="8"/>
  <c r="U13" i="8"/>
  <c r="V13" i="8"/>
  <c r="W13" i="8"/>
  <c r="X13" i="8"/>
  <c r="AA13" i="8"/>
  <c r="AB13" i="8"/>
  <c r="AC13" i="8"/>
  <c r="AD13" i="8"/>
  <c r="AE13" i="8"/>
  <c r="AF13" i="8"/>
  <c r="AG13" i="8"/>
  <c r="AH13" i="8"/>
  <c r="AI13" i="8"/>
  <c r="AJ13" i="8"/>
  <c r="AK13" i="8"/>
  <c r="AL13" i="8"/>
  <c r="AM13" i="8"/>
  <c r="AN13" i="8"/>
  <c r="J14" i="8"/>
  <c r="K14" i="8"/>
  <c r="L14" i="8"/>
  <c r="M14" i="8"/>
  <c r="O14" i="8"/>
  <c r="P14" i="8"/>
  <c r="S14" i="8"/>
  <c r="T14" i="8"/>
  <c r="U14" i="8"/>
  <c r="V14" i="8"/>
  <c r="W14" i="8"/>
  <c r="X14" i="8"/>
  <c r="AA14" i="8"/>
  <c r="AB14" i="8"/>
  <c r="AC14" i="8"/>
  <c r="AD14" i="8"/>
  <c r="AE14" i="8"/>
  <c r="AF14" i="8"/>
  <c r="AG14" i="8"/>
  <c r="AH14" i="8"/>
  <c r="AI14" i="8"/>
  <c r="AJ14" i="8"/>
  <c r="AK14" i="8"/>
  <c r="AL14" i="8"/>
  <c r="AM14" i="8"/>
  <c r="AN14" i="8"/>
  <c r="J15" i="8"/>
  <c r="K15" i="8"/>
  <c r="L15" i="8"/>
  <c r="M15" i="8"/>
  <c r="O15" i="8"/>
  <c r="P15" i="8"/>
  <c r="S15" i="8"/>
  <c r="T15" i="8"/>
  <c r="U15" i="8"/>
  <c r="V15" i="8"/>
  <c r="W15" i="8"/>
  <c r="X15" i="8"/>
  <c r="AA15" i="8"/>
  <c r="AB15" i="8"/>
  <c r="AC15" i="8"/>
  <c r="AD15" i="8"/>
  <c r="AE15" i="8"/>
  <c r="AF15" i="8"/>
  <c r="AG15" i="8"/>
  <c r="AI15" i="8"/>
  <c r="AJ15" i="8"/>
  <c r="AK15" i="8"/>
  <c r="AL15" i="8"/>
  <c r="AM15" i="8"/>
  <c r="AN15" i="8"/>
  <c r="G13" i="8"/>
  <c r="H13" i="8"/>
  <c r="G14" i="8"/>
  <c r="H14" i="8"/>
  <c r="G15" i="8"/>
  <c r="H15" i="8"/>
  <c r="C13" i="8"/>
  <c r="D13" i="8"/>
  <c r="E13" i="8"/>
  <c r="C14" i="8"/>
  <c r="D14" i="8"/>
  <c r="E14" i="8"/>
  <c r="C15" i="8"/>
  <c r="D15" i="8"/>
  <c r="E15" i="8"/>
  <c r="AG4" i="8"/>
  <c r="AH4" i="8"/>
  <c r="AG5" i="8"/>
  <c r="AH5" i="8"/>
  <c r="AG6" i="8"/>
  <c r="AG7" i="8"/>
  <c r="AH7" i="8"/>
  <c r="AG8" i="8"/>
  <c r="AH8" i="8"/>
  <c r="AG9" i="8"/>
  <c r="AH9" i="8"/>
  <c r="AG10" i="8"/>
  <c r="AH10" i="8"/>
  <c r="AG11" i="8"/>
  <c r="AH11" i="8"/>
  <c r="AG12" i="8"/>
  <c r="AH12" i="8"/>
  <c r="AG16" i="8"/>
  <c r="AH16" i="8"/>
  <c r="AG17" i="8"/>
  <c r="AH17" i="8"/>
  <c r="AG18" i="8"/>
  <c r="AH18" i="8"/>
  <c r="AG19" i="8"/>
  <c r="AH19" i="8"/>
  <c r="AG20" i="8"/>
  <c r="AH20" i="8"/>
  <c r="AG21" i="8"/>
  <c r="AH21" i="8"/>
  <c r="AG22" i="8"/>
  <c r="AH22" i="8"/>
  <c r="U6" i="8"/>
  <c r="AH6" i="8"/>
  <c r="V6" i="8"/>
  <c r="AA6" i="8"/>
  <c r="X6" i="8"/>
  <c r="AF4" i="8"/>
  <c r="AF5" i="8"/>
  <c r="AF6" i="8"/>
  <c r="AF7" i="8"/>
  <c r="AF8" i="8"/>
  <c r="AF9" i="8"/>
  <c r="AF10" i="8"/>
  <c r="AF11" i="8"/>
  <c r="AF12" i="8"/>
  <c r="AF16" i="8"/>
  <c r="AF17" i="8"/>
  <c r="AF18" i="8"/>
  <c r="AF19" i="8"/>
  <c r="AF20" i="8"/>
  <c r="AF21" i="8"/>
  <c r="AF22" i="8"/>
  <c r="AE4" i="8"/>
  <c r="AE5" i="8"/>
  <c r="AE6" i="8"/>
  <c r="AE7" i="8"/>
  <c r="AE8" i="8"/>
  <c r="AE9" i="8"/>
  <c r="AE10" i="8"/>
  <c r="AE11" i="8"/>
  <c r="AE12" i="8"/>
  <c r="AE16" i="8"/>
  <c r="AE17" i="8"/>
  <c r="AE18" i="8"/>
  <c r="AE19" i="8"/>
  <c r="AE20" i="8"/>
  <c r="AE21" i="8"/>
  <c r="AE22" i="8"/>
  <c r="AK4" i="8"/>
  <c r="AL4" i="8"/>
  <c r="AK5" i="8"/>
  <c r="AL5" i="8"/>
  <c r="AK6" i="8"/>
  <c r="AL6" i="8"/>
  <c r="AK7" i="8"/>
  <c r="AL7" i="8"/>
  <c r="AK8" i="8"/>
  <c r="AL8" i="8"/>
  <c r="AK9" i="8"/>
  <c r="AL9" i="8"/>
  <c r="AK10" i="8"/>
  <c r="AL10" i="8"/>
  <c r="AK11" i="8"/>
  <c r="AL11" i="8"/>
  <c r="AK12" i="8"/>
  <c r="AL12" i="8"/>
  <c r="AK16" i="8"/>
  <c r="AL16" i="8"/>
  <c r="AK17" i="8"/>
  <c r="AL17" i="8"/>
  <c r="AK18" i="8"/>
  <c r="AL18" i="8"/>
  <c r="AK19" i="8"/>
  <c r="AL19" i="8"/>
  <c r="AK20" i="8"/>
  <c r="AL20" i="8"/>
  <c r="AK21" i="8"/>
  <c r="AL21" i="8"/>
  <c r="AK22" i="8"/>
  <c r="AL22" i="8"/>
  <c r="AJ4" i="8"/>
  <c r="G11" i="8"/>
  <c r="G12" i="8"/>
  <c r="G16" i="8"/>
  <c r="G17" i="8"/>
  <c r="G18" i="8"/>
  <c r="G19" i="8"/>
  <c r="G20" i="8"/>
  <c r="G21" i="8"/>
  <c r="G22" i="8"/>
  <c r="G3" i="8"/>
  <c r="G4" i="8"/>
  <c r="G5" i="8"/>
  <c r="G6" i="8"/>
  <c r="G7" i="8"/>
  <c r="G8" i="8"/>
  <c r="G9" i="8"/>
  <c r="G10" i="8"/>
  <c r="C4" i="8"/>
  <c r="C5" i="8"/>
  <c r="C6" i="8"/>
  <c r="C7" i="8"/>
  <c r="C8" i="8"/>
  <c r="C9" i="8"/>
  <c r="C10" i="8"/>
  <c r="C11" i="8"/>
  <c r="C12" i="8"/>
  <c r="C16" i="8"/>
  <c r="C17" i="8"/>
  <c r="C18" i="8"/>
  <c r="C19" i="8"/>
  <c r="C20" i="8"/>
  <c r="C21" i="8"/>
  <c r="C22" i="8"/>
  <c r="C3" i="8"/>
  <c r="AC4" i="8"/>
  <c r="AD4" i="8"/>
  <c r="AC5" i="8"/>
  <c r="AD5" i="8"/>
  <c r="AC6" i="8"/>
  <c r="AD6" i="8"/>
  <c r="AC7" i="8"/>
  <c r="AD7" i="8"/>
  <c r="AC8" i="8"/>
  <c r="AD8" i="8"/>
  <c r="AD9" i="8"/>
  <c r="AC10" i="8"/>
  <c r="AD10" i="8"/>
  <c r="AC11" i="8"/>
  <c r="AD11" i="8"/>
  <c r="AC12" i="8"/>
  <c r="AD12" i="8"/>
  <c r="AC16" i="8"/>
  <c r="AD16" i="8"/>
  <c r="AC17" i="8"/>
  <c r="AD17" i="8"/>
  <c r="AC18" i="8"/>
  <c r="AD18" i="8"/>
  <c r="AC19" i="8"/>
  <c r="AD19" i="8"/>
  <c r="AC20" i="8"/>
  <c r="AD20" i="8"/>
  <c r="AC21" i="8"/>
  <c r="AD21" i="8"/>
  <c r="AC22" i="8"/>
  <c r="AD22" i="8"/>
  <c r="X4" i="8"/>
  <c r="X5" i="8"/>
  <c r="X7" i="8"/>
  <c r="X8" i="8"/>
  <c r="X9" i="8"/>
  <c r="X10" i="8"/>
  <c r="X11" i="8"/>
  <c r="X12" i="8"/>
  <c r="X16" i="8"/>
  <c r="X17" i="8"/>
  <c r="X18" i="8"/>
  <c r="X19" i="8"/>
  <c r="X20" i="8"/>
  <c r="X21" i="8"/>
  <c r="X22" i="8"/>
  <c r="W4" i="8"/>
  <c r="W5" i="8"/>
  <c r="W6" i="8"/>
  <c r="W7" i="8"/>
  <c r="W8" i="8"/>
  <c r="W9" i="8"/>
  <c r="W10" i="8"/>
  <c r="W11" i="8"/>
  <c r="W12" i="8"/>
  <c r="W16" i="8"/>
  <c r="W17" i="8"/>
  <c r="W18" i="8"/>
  <c r="W19" i="8"/>
  <c r="W20" i="8"/>
  <c r="W21" i="8"/>
  <c r="W22" i="8"/>
  <c r="AN22" i="8"/>
  <c r="AN4" i="8"/>
  <c r="AN5" i="8"/>
  <c r="AN6" i="8"/>
  <c r="AN7" i="8"/>
  <c r="AN8" i="8"/>
  <c r="AN9" i="8"/>
  <c r="AN10" i="8"/>
  <c r="AN11" i="8"/>
  <c r="AN12" i="8"/>
  <c r="AN16" i="8"/>
  <c r="AN17" i="8"/>
  <c r="AN18" i="8"/>
  <c r="AN19" i="8"/>
  <c r="AN20" i="8"/>
  <c r="AN21" i="8"/>
  <c r="AM4" i="8"/>
  <c r="AM5" i="8"/>
  <c r="AM6" i="8"/>
  <c r="AM8" i="8"/>
  <c r="AM9" i="8"/>
  <c r="AM10" i="8"/>
  <c r="AM11" i="8"/>
  <c r="AM12" i="8"/>
  <c r="AM16" i="8"/>
  <c r="AM17" i="8"/>
  <c r="AM18" i="8"/>
  <c r="AM19" i="8"/>
  <c r="AM20" i="8"/>
  <c r="AM21" i="8"/>
  <c r="AM22" i="8"/>
  <c r="E8" i="8"/>
  <c r="P4" i="8"/>
  <c r="K3" i="8"/>
  <c r="E18" i="8"/>
  <c r="E9" i="8"/>
  <c r="AI4" i="8"/>
  <c r="AI5" i="8"/>
  <c r="AJ5" i="8"/>
  <c r="AI6" i="8"/>
  <c r="AJ6" i="8"/>
  <c r="AI7" i="8"/>
  <c r="AJ7" i="8"/>
  <c r="AI8" i="8"/>
  <c r="AJ8" i="8"/>
  <c r="AI9" i="8"/>
  <c r="AJ9" i="8"/>
  <c r="AI10" i="8"/>
  <c r="AJ10" i="8"/>
  <c r="AI11" i="8"/>
  <c r="AJ11" i="8"/>
  <c r="AI12" i="8"/>
  <c r="AJ12" i="8"/>
  <c r="AI16" i="8"/>
  <c r="AJ16" i="8"/>
  <c r="AI17" i="8"/>
  <c r="AJ17" i="8"/>
  <c r="AI18" i="8"/>
  <c r="AJ18" i="8"/>
  <c r="AI19" i="8"/>
  <c r="AJ19" i="8"/>
  <c r="AI20" i="8"/>
  <c r="AJ20" i="8"/>
  <c r="AI21" i="8"/>
  <c r="AJ21" i="8"/>
  <c r="AI22" i="8"/>
  <c r="AJ22" i="8"/>
  <c r="AA4" i="8"/>
  <c r="AB4" i="8"/>
  <c r="AA5" i="8"/>
  <c r="AB5" i="8"/>
  <c r="AB6" i="8"/>
  <c r="AA7" i="8"/>
  <c r="AB7" i="8"/>
  <c r="AA8" i="8"/>
  <c r="AB8" i="8"/>
  <c r="AA9" i="8"/>
  <c r="AB9" i="8"/>
  <c r="AA10" i="8"/>
  <c r="AB10" i="8"/>
  <c r="AA11" i="8"/>
  <c r="AB11" i="8"/>
  <c r="AA12" i="8"/>
  <c r="AB12" i="8"/>
  <c r="AA16" i="8"/>
  <c r="AB16" i="8"/>
  <c r="AA17" i="8"/>
  <c r="AB17" i="8"/>
  <c r="AA18" i="8"/>
  <c r="AB18" i="8"/>
  <c r="AA19" i="8"/>
  <c r="AB19" i="8"/>
  <c r="AA20" i="8"/>
  <c r="AB20" i="8"/>
  <c r="AA21" i="8"/>
  <c r="AB21" i="8"/>
  <c r="AA22" i="8"/>
  <c r="AB22" i="8"/>
  <c r="U4" i="8"/>
  <c r="V4" i="8"/>
  <c r="U5" i="8"/>
  <c r="V5" i="8"/>
  <c r="U7" i="8"/>
  <c r="V7" i="8"/>
  <c r="U8" i="8"/>
  <c r="V8" i="8"/>
  <c r="U9" i="8"/>
  <c r="V9" i="8"/>
  <c r="U10" i="8"/>
  <c r="V10" i="8"/>
  <c r="U11" i="8"/>
  <c r="V11" i="8"/>
  <c r="U12" i="8"/>
  <c r="V12" i="8"/>
  <c r="U16" i="8"/>
  <c r="V16" i="8"/>
  <c r="U17" i="8"/>
  <c r="V17" i="8"/>
  <c r="U18" i="8"/>
  <c r="V18" i="8"/>
  <c r="U19" i="8"/>
  <c r="V19" i="8"/>
  <c r="U20" i="8"/>
  <c r="V20" i="8"/>
  <c r="U21" i="8"/>
  <c r="V21" i="8"/>
  <c r="U22" i="8"/>
  <c r="V22" i="8"/>
  <c r="S4" i="8"/>
  <c r="T4" i="8"/>
  <c r="S5" i="8"/>
  <c r="T5" i="8"/>
  <c r="S6" i="8"/>
  <c r="T6" i="8"/>
  <c r="S7" i="8"/>
  <c r="T7" i="8"/>
  <c r="S8" i="8"/>
  <c r="T8" i="8"/>
  <c r="S9" i="8"/>
  <c r="T9" i="8"/>
  <c r="S10" i="8"/>
  <c r="T10" i="8"/>
  <c r="S11" i="8"/>
  <c r="T11" i="8"/>
  <c r="S12" i="8"/>
  <c r="T12" i="8"/>
  <c r="S16" i="8"/>
  <c r="T16" i="8"/>
  <c r="S17" i="8"/>
  <c r="T17" i="8"/>
  <c r="S18" i="8"/>
  <c r="T18" i="8"/>
  <c r="S19" i="8"/>
  <c r="T19" i="8"/>
  <c r="S20" i="8"/>
  <c r="T20" i="8"/>
  <c r="S21" i="8"/>
  <c r="T21" i="8"/>
  <c r="S22" i="8"/>
  <c r="T22" i="8"/>
  <c r="P5" i="8"/>
  <c r="P6" i="8"/>
  <c r="P7" i="8"/>
  <c r="P8" i="8"/>
  <c r="P9" i="8"/>
  <c r="P10" i="8"/>
  <c r="P11" i="8"/>
  <c r="P12" i="8"/>
  <c r="P16" i="8"/>
  <c r="P17" i="8"/>
  <c r="P18" i="8"/>
  <c r="P19" i="8"/>
  <c r="P20" i="8"/>
  <c r="P21" i="8"/>
  <c r="P22" i="8"/>
  <c r="O4" i="8"/>
  <c r="O5" i="8"/>
  <c r="O6" i="8"/>
  <c r="O7" i="8"/>
  <c r="O8" i="8"/>
  <c r="O9" i="8"/>
  <c r="O10" i="8"/>
  <c r="O11" i="8"/>
  <c r="O12" i="8"/>
  <c r="O16" i="8"/>
  <c r="O17" i="8"/>
  <c r="O18" i="8"/>
  <c r="O19" i="8"/>
  <c r="O20" i="8"/>
  <c r="O21" i="8"/>
  <c r="O22" i="8"/>
  <c r="J3" i="8"/>
  <c r="D4" i="8"/>
  <c r="E4" i="8"/>
  <c r="D5" i="8"/>
  <c r="E5" i="8"/>
  <c r="D6" i="8"/>
  <c r="E6" i="8"/>
  <c r="D7" i="8"/>
  <c r="E7" i="8"/>
  <c r="D8" i="8"/>
  <c r="D9" i="8"/>
  <c r="D10" i="8"/>
  <c r="E10" i="8"/>
  <c r="D11" i="8"/>
  <c r="E11" i="8"/>
  <c r="D12" i="8"/>
  <c r="E12" i="8"/>
  <c r="D16" i="8"/>
  <c r="E16" i="8"/>
  <c r="D17" i="8"/>
  <c r="E17" i="8"/>
  <c r="D18" i="8"/>
  <c r="D19" i="8"/>
  <c r="E19" i="8"/>
  <c r="D20" i="8"/>
  <c r="E20" i="8"/>
  <c r="D21" i="8"/>
  <c r="E21" i="8"/>
  <c r="D22" i="8"/>
  <c r="E22" i="8"/>
  <c r="E3" i="8"/>
  <c r="D3" i="8"/>
  <c r="F23" i="8"/>
  <c r="J4" i="8"/>
  <c r="K4" i="8"/>
  <c r="L4" i="8"/>
  <c r="M4" i="8"/>
  <c r="J5" i="8"/>
  <c r="K5" i="8"/>
  <c r="L5" i="8"/>
  <c r="M5" i="8"/>
  <c r="J6" i="8"/>
  <c r="K6" i="8"/>
  <c r="L6" i="8"/>
  <c r="M6" i="8"/>
  <c r="J7" i="8"/>
  <c r="K7" i="8"/>
  <c r="L7" i="8"/>
  <c r="M7" i="8"/>
  <c r="J8" i="8"/>
  <c r="K8" i="8"/>
  <c r="L8" i="8"/>
  <c r="M8" i="8"/>
  <c r="J9" i="8"/>
  <c r="K9" i="8"/>
  <c r="L9" i="8"/>
  <c r="M9" i="8"/>
  <c r="J10" i="8"/>
  <c r="K10" i="8"/>
  <c r="L10" i="8"/>
  <c r="M10" i="8"/>
  <c r="J11" i="8"/>
  <c r="K11" i="8"/>
  <c r="L11" i="8"/>
  <c r="M11" i="8"/>
  <c r="J12" i="8"/>
  <c r="K12" i="8"/>
  <c r="L12" i="8"/>
  <c r="M12" i="8"/>
  <c r="J16" i="8"/>
  <c r="K16" i="8"/>
  <c r="L16" i="8"/>
  <c r="M16" i="8"/>
  <c r="J17" i="8"/>
  <c r="K17" i="8"/>
  <c r="L17" i="8"/>
  <c r="M17" i="8"/>
  <c r="J18" i="8"/>
  <c r="K18" i="8"/>
  <c r="L18" i="8"/>
  <c r="M18" i="8"/>
  <c r="J19" i="8"/>
  <c r="K19" i="8"/>
  <c r="L19" i="8"/>
  <c r="M19" i="8"/>
  <c r="J20" i="8"/>
  <c r="K20" i="8"/>
  <c r="L20" i="8"/>
  <c r="M20" i="8"/>
  <c r="J21" i="8"/>
  <c r="K21" i="8"/>
  <c r="L21" i="8"/>
  <c r="M21" i="8"/>
  <c r="J22" i="8"/>
  <c r="K22" i="8"/>
  <c r="L22" i="8"/>
  <c r="M22" i="8"/>
  <c r="M3" i="8"/>
  <c r="L3" i="8"/>
  <c r="H4" i="8"/>
  <c r="H5" i="8"/>
  <c r="H6" i="8"/>
  <c r="H7" i="8"/>
  <c r="H8" i="8"/>
  <c r="H9" i="8"/>
  <c r="H10" i="8"/>
  <c r="H11" i="8"/>
  <c r="H12" i="8"/>
  <c r="H16" i="8"/>
  <c r="H17" i="8"/>
  <c r="H18" i="8"/>
  <c r="H19" i="8"/>
  <c r="H20" i="8"/>
  <c r="H21" i="8"/>
  <c r="H22" i="8"/>
  <c r="H3" i="8"/>
  <c r="W23" i="8" l="1"/>
  <c r="K23" i="8"/>
  <c r="K33" i="8" s="1"/>
  <c r="M23" i="8"/>
  <c r="J23" i="8"/>
  <c r="K32" i="8" s="1"/>
  <c r="AJ23" i="8"/>
  <c r="AP21" i="8"/>
  <c r="AP22" i="8"/>
  <c r="AB23" i="8"/>
  <c r="AP4" i="8"/>
  <c r="L23" i="8"/>
  <c r="AP18" i="8"/>
  <c r="G23" i="8"/>
  <c r="AP15" i="8"/>
  <c r="X23" i="8"/>
  <c r="AP9" i="8"/>
  <c r="AP19" i="8"/>
  <c r="O23" i="8"/>
  <c r="AP20" i="8"/>
  <c r="V23" i="8"/>
  <c r="AA23" i="8"/>
  <c r="AE23" i="8"/>
  <c r="AF23" i="8"/>
  <c r="AP7" i="8"/>
  <c r="S23" i="8"/>
  <c r="U23" i="8"/>
  <c r="AC23" i="8"/>
  <c r="Q23" i="8"/>
  <c r="AP17" i="8"/>
  <c r="AP6" i="8"/>
  <c r="P23" i="8"/>
  <c r="AP12" i="8"/>
  <c r="T23" i="8"/>
  <c r="AP11" i="8"/>
  <c r="AN23" i="8"/>
  <c r="AL23" i="8"/>
  <c r="AD23" i="8"/>
  <c r="AP16" i="8"/>
  <c r="AP13" i="8"/>
  <c r="AM23" i="8"/>
  <c r="AH23" i="8"/>
  <c r="AG23" i="8"/>
  <c r="AP14" i="8"/>
  <c r="AK23" i="8"/>
  <c r="AP10" i="8"/>
  <c r="AI23" i="8"/>
  <c r="H23" i="8"/>
  <c r="AP5" i="8"/>
  <c r="C23" i="8"/>
  <c r="R23" i="8"/>
  <c r="AP8" i="8"/>
  <c r="E23" i="8"/>
  <c r="D23" i="8"/>
  <c r="AP3" i="8"/>
  <c r="AK24" i="8" l="1"/>
  <c r="AI24" i="8"/>
  <c r="AM24" i="8"/>
  <c r="S24" i="8"/>
  <c r="AG24" i="8"/>
  <c r="B24" i="8"/>
  <c r="AE24" i="8"/>
  <c r="AA24" i="8"/>
  <c r="W24" i="8"/>
  <c r="Q24" i="8"/>
  <c r="U24" i="8"/>
  <c r="AC24" i="8"/>
  <c r="O24" i="8"/>
</calcChain>
</file>

<file path=xl/sharedStrings.xml><?xml version="1.0" encoding="utf-8"?>
<sst xmlns="http://schemas.openxmlformats.org/spreadsheetml/2006/main" count="2172" uniqueCount="1712">
  <si>
    <t>DATE ALERT</t>
  </si>
  <si>
    <t>ALERT NAME</t>
  </si>
  <si>
    <t>PRIORITY</t>
  </si>
  <si>
    <t>ALERT TYPE</t>
  </si>
  <si>
    <t>DETAILS OF ALERT</t>
  </si>
  <si>
    <t>PROCESS DATE</t>
  </si>
  <si>
    <t>DISPOSITION</t>
  </si>
  <si>
    <t>DATE CLOSED</t>
  </si>
  <si>
    <t>EMAIL SUBJECT</t>
  </si>
  <si>
    <t>REMARKS</t>
  </si>
  <si>
    <t>Medium</t>
  </si>
  <si>
    <t>Account Enabled</t>
  </si>
  <si>
    <t>Benign</t>
  </si>
  <si>
    <t>User was added to the CN=Administrators,CN=Builtin,DC=palawanpawnshop,DC=com group</t>
  </si>
  <si>
    <t>High</t>
  </si>
  <si>
    <t>LDAP Admin Added</t>
  </si>
  <si>
    <t>Low</t>
  </si>
  <si>
    <t>Account Password Reset</t>
  </si>
  <si>
    <t>Virus Alert</t>
  </si>
  <si>
    <t>We request the SA-Team to reinstall the browser and fullscan a said machine. Virus Alert 06072022 was the topic of the email answer, At 03:43 PM 08 June 2022 Ms. Mary Joy Gumanit (ISD-SA) confirmed a that a said file was deleted on a said asset.</t>
  </si>
  <si>
    <t>Lateral Movement - Local Credentials</t>
  </si>
  <si>
    <t>Harvested Credentials</t>
  </si>
  <si>
    <t>Undecided</t>
  </si>
  <si>
    <t>Brute Force</t>
  </si>
  <si>
    <t>All-SUAM</t>
  </si>
  <si>
    <t>Hello SUAM Team,</t>
  </si>
  <si>
    <t>I'm requesting your validation if this activity is permitted. And why does this happen?</t>
  </si>
  <si>
    <t>Critical</t>
  </si>
  <si>
    <t>adware</t>
  </si>
  <si>
    <t>Aklan</t>
  </si>
  <si>
    <t>Asking for your confirmation if this action is legit ? And why happens ?</t>
  </si>
  <si>
    <t>botnet</t>
  </si>
  <si>
    <t>Alcasor</t>
  </si>
  <si>
    <t>I'd like to know why this disabled account was re-enabled.</t>
  </si>
  <si>
    <t>Malicious</t>
  </si>
  <si>
    <t>browser hijacker</t>
  </si>
  <si>
    <t>Antique</t>
  </si>
  <si>
    <t>We have received an alert on Rapid7 regarding "re-enabled account" using your credentials. May I verify if this action is legit ?</t>
  </si>
  <si>
    <t>Not Applicable</t>
  </si>
  <si>
    <t>keylogger</t>
  </si>
  <si>
    <t>Bag-Guet</t>
  </si>
  <si>
    <t>Frecy Sudario</t>
  </si>
  <si>
    <t>We have received an alert on Rapid7 regarding "password reset" using your credentials. May I verify if this action is legit ?</t>
  </si>
  <si>
    <t>ransomware</t>
  </si>
  <si>
    <t>Batangas East</t>
  </si>
  <si>
    <t>I'd like to know why this Administrators was reset his account.</t>
  </si>
  <si>
    <t>rootkit</t>
  </si>
  <si>
    <t>Batangas West</t>
  </si>
  <si>
    <t>I'd like to know why this Administrators was reset her account.</t>
  </si>
  <si>
    <t>spyware</t>
  </si>
  <si>
    <t>Bohol</t>
  </si>
  <si>
    <t>trojan</t>
  </si>
  <si>
    <t>Bukidnon</t>
  </si>
  <si>
    <t>May I know who's added this user in Active Directory? Why it's added?</t>
  </si>
  <si>
    <t>virus</t>
  </si>
  <si>
    <t>Cagayan</t>
  </si>
  <si>
    <t>worm</t>
  </si>
  <si>
    <t>Camarines</t>
  </si>
  <si>
    <t>Canola</t>
  </si>
  <si>
    <t>Lateral Movement - Administrator Impersonation</t>
  </si>
  <si>
    <t>Capizron</t>
  </si>
  <si>
    <t>Lateral Movement - Service Account</t>
  </si>
  <si>
    <t>Caraga East</t>
  </si>
  <si>
    <t>Caraga West</t>
  </si>
  <si>
    <t>Cdo Plus</t>
  </si>
  <si>
    <t>Cebu Central</t>
  </si>
  <si>
    <t>Cebu North</t>
  </si>
  <si>
    <t>Cebu South</t>
  </si>
  <si>
    <t>Cebu West</t>
  </si>
  <si>
    <t>Cotabato North</t>
  </si>
  <si>
    <t>Davao City Plus</t>
  </si>
  <si>
    <t>Davcom</t>
  </si>
  <si>
    <t>Ilocos Norte</t>
  </si>
  <si>
    <t>Ilocos Sur-Abra</t>
  </si>
  <si>
    <t>Iloilo North</t>
  </si>
  <si>
    <t>Iloilo South</t>
  </si>
  <si>
    <t>Isabela</t>
  </si>
  <si>
    <t>La Union</t>
  </si>
  <si>
    <t>Maguindanao Plus</t>
  </si>
  <si>
    <t>Masbate</t>
  </si>
  <si>
    <t>Metro Manila 1</t>
  </si>
  <si>
    <t>Metro Manila 2</t>
  </si>
  <si>
    <t>Metro Manila 3</t>
  </si>
  <si>
    <t>Metro Manila 4</t>
  </si>
  <si>
    <t>Metro Manila 5</t>
  </si>
  <si>
    <t>Mindoro</t>
  </si>
  <si>
    <t>Neg_Occ North</t>
  </si>
  <si>
    <t>Neg_Occ South</t>
  </si>
  <si>
    <t>Noley</t>
  </si>
  <si>
    <t>Normin West</t>
  </si>
  <si>
    <t>North Bulacan</t>
  </si>
  <si>
    <t>Nueva Ecija</t>
  </si>
  <si>
    <t>Nueva Ecija East And Aurora</t>
  </si>
  <si>
    <t>Nueva Vizcaya</t>
  </si>
  <si>
    <t>Orneg</t>
  </si>
  <si>
    <t>Palawan</t>
  </si>
  <si>
    <t>Pampanga</t>
  </si>
  <si>
    <t>Pangasinan East</t>
  </si>
  <si>
    <t>Pangasinan West</t>
  </si>
  <si>
    <t>Quemar</t>
  </si>
  <si>
    <t>Rizal</t>
  </si>
  <si>
    <t>Samar East</t>
  </si>
  <si>
    <t>Samar West</t>
  </si>
  <si>
    <t>Sela</t>
  </si>
  <si>
    <t>Socsksargen East</t>
  </si>
  <si>
    <t>Socsksargen West</t>
  </si>
  <si>
    <t>Soley</t>
  </si>
  <si>
    <t>South Bulacan</t>
  </si>
  <si>
    <t>Tarlac</t>
  </si>
  <si>
    <t>Zambales-Bataan</t>
  </si>
  <si>
    <t>Zambo City Plus</t>
  </si>
  <si>
    <t>Zambo North</t>
  </si>
  <si>
    <t>Zambo South</t>
  </si>
  <si>
    <t>Accounting Department</t>
  </si>
  <si>
    <t>Compliance Department</t>
  </si>
  <si>
    <t>ISD</t>
  </si>
  <si>
    <t>TSD</t>
  </si>
  <si>
    <t>SEC</t>
  </si>
  <si>
    <t>RBSD</t>
  </si>
  <si>
    <t>RPD</t>
  </si>
  <si>
    <t>RSD</t>
  </si>
  <si>
    <t>HRD</t>
  </si>
  <si>
    <t>IAD</t>
  </si>
  <si>
    <t>CED</t>
  </si>
  <si>
    <t>CCR</t>
  </si>
  <si>
    <t>Purchasing Department</t>
  </si>
  <si>
    <t>MAD</t>
  </si>
  <si>
    <t>IP Address</t>
  </si>
  <si>
    <t>Description</t>
  </si>
  <si>
    <t>Good day,</t>
  </si>
  <si>
    <t>Hello Mr/Ms. Llanes/Condido/Ardieta,</t>
  </si>
  <si>
    <t>This is noted.</t>
  </si>
  <si>
    <t>We have detected regarding failed authentications to different accounts using the following credentials from the same uncommon location.</t>
  </si>
  <si>
    <t>I appreciate your immediate response.</t>
  </si>
  <si>
    <r>
      <rPr>
        <b/>
        <sz val="11"/>
        <color theme="1"/>
        <rFont val="Calibri"/>
        <family val="2"/>
        <scheme val="minor"/>
      </rPr>
      <t>Machine Name</t>
    </r>
    <r>
      <rPr>
        <sz val="11"/>
        <color theme="1"/>
        <rFont val="Calibri"/>
        <family val="2"/>
        <scheme val="minor"/>
      </rPr>
      <t>: </t>
    </r>
  </si>
  <si>
    <t>Best regards</t>
  </si>
  <si>
    <t>DATE</t>
  </si>
  <si>
    <t>ACCOUNT/ASSETS</t>
  </si>
  <si>
    <t>USER</t>
  </si>
  <si>
    <t>AREA</t>
  </si>
  <si>
    <t>Thank You</t>
  </si>
  <si>
    <t>Thank You.</t>
  </si>
  <si>
    <t>May I verify if this action is legit ? And why it's happened ?</t>
  </si>
  <si>
    <t>TIME</t>
  </si>
  <si>
    <t>TITLE</t>
  </si>
  <si>
    <t>DESCRIPTION</t>
  </si>
  <si>
    <t>We have detected at Rapid7 regarding virus. May request your assistance to those malicious file detected.</t>
  </si>
  <si>
    <t>Your Immediate response is highly appreciated.</t>
  </si>
  <si>
    <t>Please see my attach file as your references.</t>
  </si>
  <si>
    <t>please verify if the access is legitimate and if it is legitimate may we know the action done . thank you</t>
  </si>
  <si>
    <t>Please verify if the access is legitimate and if it is legitimate may we know the action done.</t>
  </si>
  <si>
    <t>Kindly see my attach file as your references.</t>
  </si>
  <si>
    <t>ALERT</t>
  </si>
  <si>
    <t>EVIDENCE</t>
  </si>
  <si>
    <t>Email Subject</t>
  </si>
  <si>
    <t>TYPE</t>
  </si>
  <si>
    <t>ACCOUNT / USER</t>
  </si>
  <si>
    <t>STATUS</t>
  </si>
  <si>
    <t>USING</t>
  </si>
  <si>
    <t>Date Accessed</t>
  </si>
  <si>
    <t>Assets Access</t>
  </si>
  <si>
    <t>IP ADDRESS</t>
  </si>
  <si>
    <t>VPN Account/Assets Used</t>
  </si>
  <si>
    <t>SENT</t>
  </si>
  <si>
    <t>REPLY</t>
  </si>
  <si>
    <t>/usr/sbin/sshd</t>
  </si>
  <si>
    <t>successfully accessed</t>
  </si>
  <si>
    <t>vpnssl9896</t>
  </si>
  <si>
    <t>vpnssl13888</t>
  </si>
  <si>
    <t>kidfrancia</t>
  </si>
  <si>
    <t>mr401s0162p.palawanpawnshop.com</t>
  </si>
  <si>
    <t>DATE FLAGGED</t>
  </si>
  <si>
    <t>IP Location</t>
  </si>
  <si>
    <t>DATE REPLY</t>
  </si>
  <si>
    <t>Pending</t>
  </si>
  <si>
    <t>PROCESS</t>
  </si>
  <si>
    <t>BF</t>
  </si>
  <si>
    <t>HC</t>
  </si>
  <si>
    <t>LM</t>
  </si>
  <si>
    <t>IT</t>
  </si>
  <si>
    <t>SUAM</t>
  </si>
  <si>
    <t>SA</t>
  </si>
  <si>
    <t>Date</t>
  </si>
  <si>
    <t>TOTAL</t>
  </si>
  <si>
    <t>ASSET</t>
  </si>
  <si>
    <t>SOURCE ADDRESS</t>
  </si>
  <si>
    <t>DETECT</t>
  </si>
  <si>
    <t>FILE PATH</t>
  </si>
  <si>
    <t>DATE PROCESS</t>
  </si>
  <si>
    <t>File quarantined</t>
  </si>
  <si>
    <t>RESPONSE</t>
  </si>
  <si>
    <t>Hello Mr. Zabanal,</t>
  </si>
  <si>
    <t>May I verify if you used a said machine on the following time and why its happens ?</t>
  </si>
  <si>
    <t>ACCOUNT </t>
  </si>
  <si>
    <t>TO ACCESS</t>
  </si>
  <si>
    <t>DATE ACCESSED</t>
  </si>
  <si>
    <t>We have detected regarding failed attempts to authenticate to local account guest on asset(s) zbi-ait-323.palawanpawnshop.com</t>
  </si>
  <si>
    <t>vpnssl4412</t>
  </si>
  <si>
    <t>vpnssl11010</t>
  </si>
  <si>
    <t>vpnssl1858</t>
  </si>
  <si>
    <t>vpnssl1714</t>
  </si>
  <si>
    <t>The user sixto antonio m. abella was added to the privileged group: Administrators.Builtin.palawanpawnshop.com</t>
  </si>
  <si>
    <t>The user reden g. patubo was added to the privileged group: Administrators.Builtin.palawanpawnshop.com</t>
  </si>
  <si>
    <t>Jun 16, 2022 11:28 PM</t>
  </si>
  <si>
    <t>We have received an alert on Rapid7 regarding "User was Added". May I verify if this action is legit ?</t>
  </si>
  <si>
    <t>C</t>
  </si>
  <si>
    <t>U</t>
  </si>
  <si>
    <t>vpnssl20973</t>
  </si>
  <si>
    <t>vpnssl21233</t>
  </si>
  <si>
    <t>Multiple Country Authentications</t>
  </si>
  <si>
    <t>DATE SENT</t>
  </si>
  <si>
    <t>ISP</t>
  </si>
  <si>
    <t>ISP Location</t>
  </si>
  <si>
    <t>0 to 3.4 = Low</t>
  </si>
  <si>
    <t>3.5 to 7.4 = Med</t>
  </si>
  <si>
    <t>7.5 to 10 =High</t>
  </si>
  <si>
    <t>0-3</t>
  </si>
  <si>
    <t>8-10</t>
  </si>
  <si>
    <t>04-7</t>
  </si>
  <si>
    <t>vpnssl15653</t>
  </si>
  <si>
    <t>&gt;&gt;&gt;&gt;&gt;&gt;&gt;&gt;&gt;&gt;&gt;&gt;&gt;&gt;&gt;&gt;&gt;&gt;&gt;</t>
  </si>
  <si>
    <t>vpnssl19889</t>
  </si>
  <si>
    <t>Ingress from Domain Admin</t>
  </si>
  <si>
    <t>Ingress from Disabled account</t>
  </si>
  <si>
    <t>Custom Alert for IPS detection</t>
  </si>
  <si>
    <t>IP</t>
  </si>
  <si>
    <t>Good day SA Team,</t>
  </si>
  <si>
    <t>vpnssl17125</t>
  </si>
  <si>
    <t>Bulacan North</t>
  </si>
  <si>
    <t>Bulacan South</t>
  </si>
  <si>
    <t>Aurora Plus</t>
  </si>
  <si>
    <t>Dear Mr. Manoos</t>
  </si>
  <si>
    <t>Upon checking a said email has content a link flagged as phishing site.</t>
  </si>
  <si>
    <t>Kindly inform the sender to remove the signature link to avoid tagging as phishing.</t>
  </si>
  <si>
    <t>If you take a risk of a said email, please let us know.</t>
  </si>
  <si>
    <t>Thank you</t>
  </si>
  <si>
    <t>Good day</t>
  </si>
  <si>
    <t>As you requested, a said email was successfully released.</t>
  </si>
  <si>
    <t>Please  do not click the signature content and don't give any information to a said link.</t>
  </si>
  <si>
    <t>We have detected at Rapid7 regarding virus at their PC2.</t>
  </si>
  <si>
    <t>May request to full manual scan to a said machine.</t>
  </si>
  <si>
    <t>cr402s0046p</t>
  </si>
  <si>
    <t>Kindly screenshot the log on event manager .</t>
  </si>
  <si>
    <t>Steps :</t>
  </si>
  <si>
    <r>
      <t xml:space="preserve">1. Open </t>
    </r>
    <r>
      <rPr>
        <b/>
        <sz val="11"/>
        <color theme="1"/>
        <rFont val="Calibri"/>
        <family val="2"/>
        <scheme val="minor"/>
      </rPr>
      <t>Event Viewer</t>
    </r>
  </si>
  <si>
    <r>
      <t xml:space="preserve">2. Select </t>
    </r>
    <r>
      <rPr>
        <b/>
        <sz val="11"/>
        <color theme="1"/>
        <rFont val="Calibri"/>
        <family val="2"/>
        <scheme val="minor"/>
      </rPr>
      <t>Windows Logs</t>
    </r>
    <r>
      <rPr>
        <sz val="11"/>
        <color theme="1"/>
        <rFont val="Calibri"/>
        <family val="2"/>
        <scheme val="minor"/>
      </rPr>
      <t xml:space="preserve"> &gt; </t>
    </r>
    <r>
      <rPr>
        <b/>
        <sz val="11"/>
        <color theme="1"/>
        <rFont val="Calibri"/>
        <family val="2"/>
        <scheme val="minor"/>
      </rPr>
      <t>Security</t>
    </r>
  </si>
  <si>
    <r>
      <t xml:space="preserve">3. Filter the Event ID : </t>
    </r>
    <r>
      <rPr>
        <b/>
        <sz val="11"/>
        <color theme="1"/>
        <rFont val="Calibri"/>
        <family val="2"/>
        <scheme val="minor"/>
      </rPr>
      <t>4625</t>
    </r>
  </si>
  <si>
    <t>kerberos</t>
  </si>
  <si>
    <t>vpnssl4887</t>
  </si>
  <si>
    <t>LM-Local Credentials</t>
  </si>
  <si>
    <t>LM-Service Account</t>
  </si>
  <si>
    <t>_x000D_
mccintelnuc14 / MCC-INTELNUC-14 REMOTE PC</t>
  </si>
  <si>
    <t>mr602s0129p.palawanpawnshop.com</t>
  </si>
  <si>
    <t>10.213.5.14</t>
  </si>
  <si>
    <t>mccamd03 / MCC-AMD-3 PEPP PROCESSOR, WEB PROC</t>
  </si>
  <si>
    <t>10.213.1.3</t>
  </si>
  <si>
    <t>mccintel05 / MCC-INTEL-5 MONITORING, SMS NOTIFIER</t>
  </si>
  <si>
    <t>10.213.1.11</t>
  </si>
  <si>
    <t>mccvb01 / MCC-VB VIRTUAL BRANCH, SMS SERVICE</t>
  </si>
  <si>
    <t>10.213.1.13</t>
  </si>
  <si>
    <t>mccamd01 / MCC-AMD-1 PEPP PROCESSOR WEB PROC</t>
  </si>
  <si>
    <t>10.213.1.1</t>
  </si>
  <si>
    <t>mccintel01 / MCC-INTEL-1 WEB PROC, PEPP PROCESSOR BACK</t>
  </si>
  <si>
    <t>10.213.1.7</t>
  </si>
  <si>
    <t>mccintelnuc04 / MCC-INTELNUC-4 REMOTE PC</t>
  </si>
  <si>
    <t>10.213.5.4</t>
  </si>
  <si>
    <t>mccintelnuc05 / MCC-INTELNUC-5 REMOTE PC</t>
  </si>
  <si>
    <t>10.213.5.5</t>
  </si>
  <si>
    <t>IP ADDRESS USE</t>
  </si>
  <si>
    <t>Lateral Movement - Domain Credentials</t>
  </si>
  <si>
    <t>vpnssl2456</t>
  </si>
  <si>
    <t>Good Day!</t>
  </si>
  <si>
    <t>Please refer to HO-IT/ESDD  for configuration/set-up .</t>
  </si>
  <si>
    <t>Your request for email account in fortimail has been successfully created. Kindly access it in webmail client and change password then,</t>
  </si>
  <si>
    <t>Set it up on outlook mail client</t>
  </si>
  <si>
    <t>EMAIL</t>
  </si>
  <si>
    <t>Password</t>
  </si>
  <si>
    <t>Display Name</t>
  </si>
  <si>
    <t>MSD!2wsxcde3$</t>
  </si>
  <si>
    <t>vpnssl22528</t>
  </si>
  <si>
    <t>Good Day Ma’am cel,</t>
  </si>
  <si>
    <t xml:space="preserve">Asking for your Approval to proceed with this request, Email group update and the creation of 9 email groups for operations. </t>
  </si>
  <si>
    <t>Good day!</t>
  </si>
  <si>
    <t>Kindly ask assistance from your BOS or co-associates to email on your behalf. Don't use gmail account.</t>
  </si>
  <si>
    <t>I'd like to inform you that the password has been reset.</t>
  </si>
  <si>
    <t>Password: Passw0rd@123</t>
  </si>
  <si>
    <t>===============   REMINDER  ===============</t>
  </si>
  <si>
    <t xml:space="preserve">           The password will expire after 90 days</t>
  </si>
  <si>
    <t>Go back to ADPU sites and Just Update your New Password</t>
  </si>
  <si>
    <t>1. At least 8 characters," the more characters, the better".</t>
  </si>
  <si>
    <t>2. A mixture of both uppercase and lowercase letters.</t>
  </si>
  <si>
    <t>3. A mixture of letters and numbers.</t>
  </si>
  <si>
    <t>4. Inclusion of at least one special character! @ # ?</t>
  </si>
  <si>
    <t>5. The password should not have been used recently.</t>
  </si>
  <si>
    <t>=========================================</t>
  </si>
  <si>
    <t>Regards,</t>
  </si>
  <si>
    <t>Alert Type</t>
  </si>
  <si>
    <t>Complete</t>
  </si>
  <si>
    <t>10.213.6.18</t>
  </si>
  <si>
    <t>Rapid7 Daily Ticket Monitoring</t>
  </si>
  <si>
    <t>ALERT TYPES</t>
  </si>
  <si>
    <t>Open Tickets</t>
  </si>
  <si>
    <t>Closed Tickets</t>
  </si>
  <si>
    <t>Total No. of Tickets</t>
  </si>
  <si>
    <t>Analysis</t>
  </si>
  <si>
    <t>no detection</t>
  </si>
  <si>
    <t>Advance Malware Alert</t>
  </si>
  <si>
    <t>Attacker Behavior Detected</t>
  </si>
  <si>
    <t xml:space="preserve">Malicious file were found in one of the workstation . The malicious malware found is using defensive evasion scheme and it was carrying trojan. For mitigation plan. We blocked the IP address of the malicious URL and advise to delete the file. For the safety, we advise AIT to reimage or reformat the PC due to it might have hidden file in the PC. </t>
  </si>
  <si>
    <t>Custom Alert AV Detection</t>
  </si>
  <si>
    <t>Most of the detection are ‘adware’ which were already removed and cleaned.</t>
  </si>
  <si>
    <t>Custom Alert Regarding WAF(Cross site Scripting and SQL Injection attack)</t>
  </si>
  <si>
    <t>All Detection are non issue or false positive</t>
  </si>
  <si>
    <t>Custom Alert Firewall Configuration changes</t>
  </si>
  <si>
    <t>None issue changes are made by ISD</t>
  </si>
  <si>
    <t>Custom Alert Fortimail Configuration changes</t>
  </si>
  <si>
    <t>Custom Alert regarding IPS alert</t>
  </si>
  <si>
    <t>Custom Alert regarding Deep discovery inspection alert</t>
  </si>
  <si>
    <t>None issue, More alert are came from Telco IP's</t>
  </si>
  <si>
    <t>Ingress From Disabled account</t>
  </si>
  <si>
    <t>Ingress From  Domain admin</t>
  </si>
  <si>
    <t>LDAP Admin added</t>
  </si>
  <si>
    <t>Non Issue . Action was done by ISD user management admin</t>
  </si>
  <si>
    <t xml:space="preserve">The Detection are false positive made by TSD Team and all are verified.
All action are normal activity of TSD Team </t>
  </si>
  <si>
    <t>Lateral Movement - Administrator impersonation</t>
  </si>
  <si>
    <t>Detection Evasion - Local Event Log Deletion</t>
  </si>
  <si>
    <t>Malicious Hash on Asset</t>
  </si>
  <si>
    <t>Protocol Poisoning Detected</t>
  </si>
  <si>
    <t>Network Access for Threat</t>
  </si>
  <si>
    <t>Suspicious Process Hash Discovered</t>
  </si>
  <si>
    <t>Detection are trojan found and adware which are already file cleaned in the workstation via Apex one</t>
  </si>
  <si>
    <t>Total alert Tickets</t>
  </si>
  <si>
    <t xml:space="preserve">Remarks: </t>
  </si>
  <si>
    <t>No pending tickets</t>
  </si>
  <si>
    <t>Notable objects</t>
  </si>
  <si>
    <t>Host Name/IP addreess/Username</t>
  </si>
  <si>
    <t>Type of alert</t>
  </si>
  <si>
    <t>Detected as</t>
  </si>
  <si>
    <t>Process Path</t>
  </si>
  <si>
    <t>Time</t>
  </si>
  <si>
    <t>Action Taken</t>
  </si>
  <si>
    <t xml:space="preserve">False Positive. Action was initiated by the ISD-User Access Management Section </t>
  </si>
  <si>
    <t>Alerts are more on driver pack update or unauthorized applciation which immediately reported for manual deletion. No high risk alert for this day</t>
  </si>
  <si>
    <t>Non issue, HTTP Headerr attack and CnC call back detection was already blocked by WAF and Firewall</t>
  </si>
  <si>
    <t xml:space="preserve">False Positive.  Actions were initiated by IT-Technical Services Division and AIT. </t>
  </si>
  <si>
    <t>Non issue, detected IP are from Branches ISP, Head office and Microsoft IP address. No Malicious IP found.</t>
  </si>
  <si>
    <t>None issue, Changes are made by IS-SA team</t>
  </si>
  <si>
    <t>None issue, Changes are made by IS-STIR team</t>
  </si>
  <si>
    <t>Resolved. Most of the detection were due to ‘adware’ which were already removed and cleaned.</t>
  </si>
  <si>
    <t>Non-critical issue, Changes done in firewall are due to VPN connection and Branch policy creation</t>
  </si>
  <si>
    <t>The Detection are false positive</t>
  </si>
  <si>
    <t xml:space="preserve">False Positive.  Actions were initiated by IT-Technical Services Division. </t>
  </si>
  <si>
    <t>None issue, as per checking, it was triggered by Intergrated Widget used in PPG branches</t>
  </si>
  <si>
    <t>Some of the alert were already block by perimeter and Some are false positive alert</t>
  </si>
  <si>
    <t xml:space="preserve">Non-critical issue, Detected IPS alert are blocked by Perimeter Firewall and some alert are false positive. </t>
  </si>
  <si>
    <t>LM-Admin Impersnte</t>
  </si>
  <si>
    <t>Custom Alert Web Application Firewall Configuration changes</t>
  </si>
  <si>
    <t>The detected ID was system ID. no policy or administration config was change. Non issue</t>
  </si>
  <si>
    <t>Target of a brute force attack : There were  no issues found, All detection were verified to the USER /IT and System Admin Team (LEGIT)</t>
  </si>
  <si>
    <t>The Detection are false positive, Open ticket are still on process</t>
  </si>
  <si>
    <t xml:space="preserve">There were no issues found, this alert is same on 
previous detection where an event log of 4625 (failed to login) Advapi result was "FAILED_ACCOUNT_DISABLED" from "C:\Windows\explorer.exe" using Guest
</t>
  </si>
  <si>
    <t>VPN Account Name</t>
  </si>
  <si>
    <t>Name</t>
  </si>
  <si>
    <t>Johndel Clavacio</t>
  </si>
  <si>
    <t>Francis Sabandal</t>
  </si>
  <si>
    <t>Christian Joseph F. Pabustan</t>
  </si>
  <si>
    <t>Mario Bernas</t>
  </si>
  <si>
    <t>Jay Patrick Pimentel</t>
  </si>
  <si>
    <t>Phebe Vigonte</t>
  </si>
  <si>
    <t>Johnssen Del Rosario</t>
  </si>
  <si>
    <t>Tito Badilla Jr</t>
  </si>
  <si>
    <t>Bohnel Orrilos</t>
  </si>
  <si>
    <t>Kathlyn Enriquez</t>
  </si>
  <si>
    <t>Alexie Mission</t>
  </si>
  <si>
    <t>Guilmar Mamaril</t>
  </si>
  <si>
    <t>Joel Christian Opena</t>
  </si>
  <si>
    <t>Roy Hubilla</t>
  </si>
  <si>
    <t>Jay R Bayog</t>
  </si>
  <si>
    <t>Gian Karlo B. Adorable</t>
  </si>
  <si>
    <t>Rosemarie R. Fabrigas</t>
  </si>
  <si>
    <t>Jessie B. Baynas</t>
  </si>
  <si>
    <t>Celso G. Ducao Jr</t>
  </si>
  <si>
    <t>Nino Luchavez</t>
  </si>
  <si>
    <t>Jeremiah L. Vetus</t>
  </si>
  <si>
    <t>Carlo Calulut</t>
  </si>
  <si>
    <t>Melanie Arriola</t>
  </si>
  <si>
    <t>Philip Canete</t>
  </si>
  <si>
    <t>Maria Camille Teodoro</t>
  </si>
  <si>
    <t>Jayvee F. Palo</t>
  </si>
  <si>
    <t>Michael D. Cartaciano</t>
  </si>
  <si>
    <t>John Patrick Pimentel</t>
  </si>
  <si>
    <t>Kris Ian D. Francia</t>
  </si>
  <si>
    <t>Nesreen Divine Reyes</t>
  </si>
  <si>
    <t>Raymond C . Ellis</t>
  </si>
  <si>
    <t>Ronnel S. Pascual</t>
  </si>
  <si>
    <t>Mark Joseph T. Pili</t>
  </si>
  <si>
    <t>Hervey A. Hambre</t>
  </si>
  <si>
    <t>Melvin M. Marpa</t>
  </si>
  <si>
    <t>Sixto Antonio Abella</t>
  </si>
  <si>
    <t>vpnssl3290</t>
  </si>
  <si>
    <t>vpnssl20379</t>
  </si>
  <si>
    <t>vpnssl10886</t>
  </si>
  <si>
    <t>vpnssl3838</t>
  </si>
  <si>
    <t>vpnssl143</t>
  </si>
  <si>
    <t>vpnssl11647</t>
  </si>
  <si>
    <t>vpnssl14123</t>
  </si>
  <si>
    <t>vpnssl14896</t>
  </si>
  <si>
    <t>vpnssl15407</t>
  </si>
  <si>
    <t>vpnssl4331</t>
  </si>
  <si>
    <t>vpnssl1361</t>
  </si>
  <si>
    <t>vpnssl2940</t>
  </si>
  <si>
    <t>vpnssl4590</t>
  </si>
  <si>
    <t>vpnssl23016</t>
  </si>
  <si>
    <t>vpnssl22652</t>
  </si>
  <si>
    <t>vpnssl14027</t>
  </si>
  <si>
    <t>vpnssl5294</t>
  </si>
  <si>
    <t>vpnssl23013</t>
  </si>
  <si>
    <t>vpnssl23582</t>
  </si>
  <si>
    <t>vpnssl23471</t>
  </si>
  <si>
    <t>vpnssl23580</t>
  </si>
  <si>
    <t>vpnssl15410</t>
  </si>
  <si>
    <t>vpnssl23734</t>
  </si>
  <si>
    <t>vpnssl23014</t>
  </si>
  <si>
    <t>vpnssl15530</t>
  </si>
  <si>
    <t>vpnssl17825</t>
  </si>
  <si>
    <t xml:space="preserve">vpnssl37634 </t>
  </si>
  <si>
    <t>vpnssl1022</t>
  </si>
  <si>
    <t>vpnssl10578</t>
  </si>
  <si>
    <t>Support Analyst</t>
  </si>
  <si>
    <t xml:space="preserve">Systems Administration Analyst </t>
  </si>
  <si>
    <t>Head Office Engineer</t>
  </si>
  <si>
    <t>System Specialist</t>
  </si>
  <si>
    <t>Field Engineer</t>
  </si>
  <si>
    <t>Systems Administration Analyst</t>
  </si>
  <si>
    <t>Systems Admin Analyst</t>
  </si>
  <si>
    <t>Network Engineer</t>
  </si>
  <si>
    <t>Database Analyst</t>
  </si>
  <si>
    <t>Database Analyst - Test&amp;Dev</t>
  </si>
  <si>
    <t>Software Engineer</t>
  </si>
  <si>
    <t>Specialist</t>
  </si>
  <si>
    <t>Voice Network Supervisor</t>
  </si>
  <si>
    <t>Quality Assurance Specialist</t>
  </si>
  <si>
    <t>Sr. Systems Specialist</t>
  </si>
  <si>
    <t>Senior Operations Specialist</t>
  </si>
  <si>
    <t>System Engineer</t>
  </si>
  <si>
    <t>Position</t>
  </si>
  <si>
    <t>Jessie Baynas</t>
  </si>
  <si>
    <t>Jay C. Lauros</t>
  </si>
  <si>
    <t>Mei Ann Asis Jimenez</t>
  </si>
  <si>
    <t>Joel Jay R. Mapanao</t>
  </si>
  <si>
    <t>Arvee Jay E. Mina</t>
  </si>
  <si>
    <t>Elvelyn B. Ygsi</t>
  </si>
  <si>
    <t>Rbos</t>
  </si>
  <si>
    <t>System Administration Analyst</t>
  </si>
  <si>
    <t>Regional Branch Operation Head</t>
  </si>
  <si>
    <t>Service Specialist</t>
  </si>
  <si>
    <t>Head Office It Engineer</t>
  </si>
  <si>
    <t>Db Analyst  - Prod &amp; Dr</t>
  </si>
  <si>
    <t>Database Analyst - Uat</t>
  </si>
  <si>
    <t>It Operation Specialist / Section</t>
  </si>
  <si>
    <t>Sr. Software Engineer</t>
  </si>
  <si>
    <t>Research And Development Supervisor</t>
  </si>
  <si>
    <t xml:space="preserve">System Analyst </t>
  </si>
  <si>
    <t>Itd</t>
  </si>
  <si>
    <t>vpnssl17212</t>
  </si>
  <si>
    <t>False positive, alert trigger by remote session of Kaseya</t>
  </si>
  <si>
    <t>Val Guiller M. Manoos</t>
  </si>
  <si>
    <t>Sr. Systems Administration Specialist - Production and DR</t>
  </si>
  <si>
    <t>Jobalyn Medrano</t>
  </si>
  <si>
    <t>Hazel Catapang</t>
  </si>
  <si>
    <t>Allan Rae G. Saac</t>
  </si>
  <si>
    <t>Hero M. Mationg</t>
  </si>
  <si>
    <t>Ryan Jason G. Tailan</t>
  </si>
  <si>
    <t>Renzo V. Bustillos</t>
  </si>
  <si>
    <t>Wilmor R. Baraquiel Jr,</t>
  </si>
  <si>
    <t>Jobert D. Tabago</t>
  </si>
  <si>
    <t>Jelius G. Dolorota</t>
  </si>
  <si>
    <t>John Lester C. Villarico</t>
  </si>
  <si>
    <t>Jeanno B. Carmelo</t>
  </si>
  <si>
    <t>John Cedrick T. Ilagan</t>
  </si>
  <si>
    <t>Ariz DC. Ocariza</t>
  </si>
  <si>
    <t>Arceli P. Lim</t>
  </si>
  <si>
    <t>Branch Head - Administrative Specialist - Information Security Temporary</t>
  </si>
  <si>
    <t>User Access Management Head</t>
  </si>
  <si>
    <t>IS Analyst - User Access Management</t>
  </si>
  <si>
    <t>IS Analyst - Administration</t>
  </si>
  <si>
    <t>IS Analyst - Threat Intelligence and Response</t>
  </si>
  <si>
    <t>IS Compliance and Governance Head</t>
  </si>
  <si>
    <t>Information Security Head</t>
  </si>
  <si>
    <t>Jovany Ramos</t>
  </si>
  <si>
    <t>vpnssl6260</t>
  </si>
  <si>
    <t>vpnssl10452</t>
  </si>
  <si>
    <t>vpnssl12213</t>
  </si>
  <si>
    <t>vpnssl7563</t>
  </si>
  <si>
    <t>vpnssl864</t>
  </si>
  <si>
    <t>vpnssl15640</t>
  </si>
  <si>
    <t>vpnssl15279</t>
  </si>
  <si>
    <t>vpnssl14782</t>
  </si>
  <si>
    <t>vpnssl8357</t>
  </si>
  <si>
    <t>vpnssl8354</t>
  </si>
  <si>
    <t>vpnssl5755</t>
  </si>
  <si>
    <t>vpnssl20343</t>
  </si>
  <si>
    <t>vpnssl20370</t>
  </si>
  <si>
    <t>vpnssl20371</t>
  </si>
  <si>
    <t>vpnssl20344</t>
  </si>
  <si>
    <t>vpnssl20288</t>
  </si>
  <si>
    <t>Bryan Angelo L. Galan</t>
  </si>
  <si>
    <t>Joey A. Geronimo</t>
  </si>
  <si>
    <t>Rayner C. Ediza</t>
  </si>
  <si>
    <t>Alexie Bayron D. Mission</t>
  </si>
  <si>
    <t>Boyet A. Nazon</t>
  </si>
  <si>
    <t>Richard H. Sandoval</t>
  </si>
  <si>
    <t>Raymond Nico C. Macatulad</t>
  </si>
  <si>
    <t>Desmond E. Villar</t>
  </si>
  <si>
    <t>Raymond C. Mendoza</t>
  </si>
  <si>
    <t>Crisostomo T. Oligo Jr</t>
  </si>
  <si>
    <t>Richie John I. Ramirez</t>
  </si>
  <si>
    <t>Ronnie Sacarez</t>
  </si>
  <si>
    <t>Celso Ducao jr</t>
  </si>
  <si>
    <t>Jeremias Dagot</t>
  </si>
  <si>
    <t>Karlo T. Jusgado</t>
  </si>
  <si>
    <t>Michelle A. Baluran</t>
  </si>
  <si>
    <t>Testing and Control Supervisor - Application Support</t>
  </si>
  <si>
    <t>Computer Operator</t>
  </si>
  <si>
    <t>Systems Administration Analyst - Production and DR</t>
  </si>
  <si>
    <t>System Development Head</t>
  </si>
  <si>
    <t>Technical Services Head</t>
  </si>
  <si>
    <t>Sr. Systems Administration Specialist -  System Management Test and Development</t>
  </si>
  <si>
    <t>IT Operations Head</t>
  </si>
  <si>
    <t>Test and Development Supervisor - System Management</t>
  </si>
  <si>
    <t>Computer Operator - Shift Supervisor - IT Operations Trainee</t>
  </si>
  <si>
    <t>Production and DR Supervisor - Database Management</t>
  </si>
  <si>
    <t>Design and Development Supervisor</t>
  </si>
  <si>
    <t>Computer Operator - Production Control Supervisor Trainee</t>
  </si>
  <si>
    <t>Software Engineer - Application Support Specialist Trainee</t>
  </si>
  <si>
    <t>vpnssl865</t>
  </si>
  <si>
    <t>vpnssl165</t>
  </si>
  <si>
    <t>vpnssl653</t>
  </si>
  <si>
    <t>vpnssl1006</t>
  </si>
  <si>
    <t>vpnssl736</t>
  </si>
  <si>
    <t>vpnssl1866</t>
  </si>
  <si>
    <t>vpnssl1965</t>
  </si>
  <si>
    <t>vpnssl2076</t>
  </si>
  <si>
    <t>vpnssl2231</t>
  </si>
  <si>
    <t>vpnssl4006</t>
  </si>
  <si>
    <t>vpnssl4299</t>
  </si>
  <si>
    <t>vpnssl4310</t>
  </si>
  <si>
    <t>Good day Mr. Rocha Jr.,</t>
  </si>
  <si>
    <t>We have detected regarding failed authentications to different accounts using the following credentials from the same uncommon location</t>
  </si>
  <si>
    <t>Good day Ms. Dulce,</t>
  </si>
  <si>
    <t xml:space="preserve">     </t>
  </si>
  <si>
    <t>Your request for email account in fortimail has been successfully created.</t>
  </si>
  <si>
    <r>
      <t xml:space="preserve">Kindly access it in webmail client and </t>
    </r>
    <r>
      <rPr>
        <b/>
        <sz val="11"/>
        <color theme="1"/>
        <rFont val="Calibri"/>
        <family val="2"/>
        <scheme val="minor"/>
      </rPr>
      <t>change password</t>
    </r>
    <r>
      <rPr>
        <sz val="11"/>
        <color theme="1"/>
        <rFont val="Calibri"/>
        <family val="2"/>
        <scheme val="minor"/>
      </rPr>
      <t xml:space="preserve"> then,</t>
    </r>
  </si>
  <si>
    <t>Please refer to HO-IT/ESDD  for configuration/set-up .</t>
  </si>
  <si>
    <r>
      <t>Display Name</t>
    </r>
    <r>
      <rPr>
        <sz val="11"/>
        <color theme="1"/>
        <rFont val="Calibri"/>
        <family val="2"/>
        <scheme val="minor"/>
      </rPr>
      <t xml:space="preserve"> : </t>
    </r>
  </si>
  <si>
    <t>PPG-BSP Audit</t>
  </si>
  <si>
    <t>Email :</t>
  </si>
  <si>
    <t>PPGBSPaudit@palawanpawnshop.com</t>
  </si>
  <si>
    <r>
      <t>Password</t>
    </r>
    <r>
      <rPr>
        <sz val="11"/>
        <color theme="1"/>
        <rFont val="Calibri"/>
        <family val="2"/>
        <scheme val="minor"/>
      </rPr>
      <t xml:space="preserve"> : </t>
    </r>
  </si>
  <si>
    <t>CG!2wsxcde3$</t>
  </si>
  <si>
    <t>DATE TIME</t>
  </si>
  <si>
    <t>2022-09-29T14:04:33.712Z</t>
  </si>
  <si>
    <t>SOURCE ASSET</t>
  </si>
  <si>
    <t>cmdLine</t>
  </si>
  <si>
    <t>sudo tail /media/usb-drive/output.log</t>
  </si>
  <si>
    <t>SUCCESS</t>
  </si>
  <si>
    <t>RESULT</t>
  </si>
  <si>
    <t>sudo xtrabackup --backup --parallel=12 --target_dir=/media/usb-drive/BERS</t>
  </si>
  <si>
    <t>FAILED_OTHER</t>
  </si>
  <si>
    <t>2022-09-29T15:09:16.198Z</t>
  </si>
  <si>
    <t>Remarks</t>
  </si>
  <si>
    <t>vpnssl15522</t>
  </si>
  <si>
    <t>Wilsen Karl Enriquez</t>
  </si>
  <si>
    <t>Database Analyst - Database Management Production and DR</t>
  </si>
  <si>
    <t>The user michael p. dela cruz was added to the privileged group: Administrators.Builtin.palawanpawnshop.com</t>
  </si>
  <si>
    <t>Source Asset</t>
  </si>
  <si>
    <t>Destination Asset</t>
  </si>
  <si>
    <t>Result</t>
  </si>
  <si>
    <t>Terminal</t>
  </si>
  <si>
    <t>CmdLine</t>
  </si>
  <si>
    <t>StartTime</t>
  </si>
  <si>
    <t>AUID</t>
  </si>
  <si>
    <t>ASSEST</t>
  </si>
  <si>
    <t>Non-Issue</t>
  </si>
  <si>
    <t xml:space="preserve">The Detection are false positive made by TSD Team 
action are normal activity of TSD Team 
</t>
  </si>
  <si>
    <t xml:space="preserve">The Detection are false positive made by TSD Team ,action are normal activity of TSD Team </t>
  </si>
  <si>
    <t>Upon checking the said user was added to “Desktop Administrator Group” member of Administrators built in.</t>
  </si>
  <si>
    <t>John Reymond Heredero</t>
  </si>
  <si>
    <t xml:space="preserve">
Sr. Systems Administration Specialist -  System Management Test and Development</t>
  </si>
  <si>
    <t>cev-libmana-pc1</t>
  </si>
  <si>
    <t>TROJ_GEN.R002C0DJI22</t>
  </si>
  <si>
    <t>D:\Installer\Other Installer\noodnewupdate\noodnewupdate.rar</t>
  </si>
  <si>
    <t>Custom Alert Fortimail Config Changes was triggered for log PPG FORTIMAIL in log set Raw Log</t>
  </si>
  <si>
    <t>TrojanSpy.Linux.LOTOOR.USELVHO22</t>
  </si>
  <si>
    <t>Custom Alert Linux config changes was triggered for super admin</t>
  </si>
  <si>
    <t>zzz-palaf0r3ad</t>
  </si>
  <si>
    <t>HO-new</t>
  </si>
  <si>
    <t>TROJ_GEN.R06CC0PHO21</t>
  </si>
  <si>
    <t>C:\Users\rjovillon\Desktop\EaseUS Data Recovery Wizard Technician v15.1.0 + Fix {CracksHash}\Patch-Activator\Patch-Activator.zip</t>
  </si>
  <si>
    <t>Encrypted succeeded</t>
  </si>
  <si>
    <t>asm-baltan-cl2</t>
  </si>
  <si>
    <t>K:\Program Files\Wondershare\MobileGoCommon\root\run_root_shell</t>
  </si>
  <si>
    <t>False Positive.  Actions were initiated by IT-Technical Services Division.</t>
  </si>
  <si>
    <t>Account laconise re-enabled by pmedetecio</t>
  </si>
  <si>
    <t>The previously disabled account laconise was re-enabled by pmedetecio</t>
  </si>
  <si>
    <t>Date Reply</t>
  </si>
  <si>
    <r>
      <t xml:space="preserve">We received an alert from asset </t>
    </r>
    <r>
      <rPr>
        <b/>
        <sz val="11"/>
        <color theme="1"/>
        <rFont val="Calibri"/>
        <family val="2"/>
        <scheme val="minor"/>
      </rPr>
      <t xml:space="preserve">poc01s0035m </t>
    </r>
    <r>
      <rPr>
        <sz val="11"/>
        <color theme="1"/>
        <rFont val="Calibri"/>
        <family val="2"/>
        <scheme val="minor"/>
      </rPr>
      <t>using your credential for this command. May I verify if this action is legit ?</t>
    </r>
  </si>
  <si>
    <t>Custom Alert Linux config</t>
  </si>
  <si>
    <t>Date Sent</t>
  </si>
  <si>
    <t>Good day Sir,</t>
  </si>
  <si>
    <t>Custom Linux</t>
  </si>
  <si>
    <t>VA</t>
  </si>
  <si>
    <t>Date and Time</t>
  </si>
  <si>
    <t>Firewall Changes Detection</t>
  </si>
  <si>
    <t>Policy No.</t>
  </si>
  <si>
    <t>Policy Description</t>
  </si>
  <si>
    <t>User</t>
  </si>
  <si>
    <t>Department</t>
  </si>
  <si>
    <t>Count</t>
  </si>
  <si>
    <t>Action</t>
  </si>
  <si>
    <t>Reason</t>
  </si>
  <si>
    <t>CRF/Emailed Approved</t>
  </si>
  <si>
    <t>Firewall Changes</t>
  </si>
  <si>
    <t>We received an alert regarding Firewall config/changes.</t>
  </si>
  <si>
    <t>If it has a CRF/MOP please indicate the reference number to support your action.</t>
  </si>
  <si>
    <t>Suspicious Process - Malicious Hash On Asset</t>
  </si>
  <si>
    <t>D:\Widgets\IntegratedWidgets.exe
D:\International Formatter\Widgets\IntegratedWidgets.exe
D:\International Request Formatter\IntegratedWidgets.exe</t>
  </si>
  <si>
    <t>False Positive.  Alert are coming from IntegratedWidgets.exe used by our end.</t>
  </si>
  <si>
    <t>N/A</t>
  </si>
  <si>
    <t>Upon investigate the IP source of IPS that is carrying the GPON.formLogin.Remote.Command.Injection. The IP is confirmed as malicious by Virus total and Fortiguard. We also request to block the malicious IP  in perimeter firewall. And alert is now safe to close</t>
  </si>
  <si>
    <t>Date Closed</t>
  </si>
  <si>
    <t>CC</t>
  </si>
  <si>
    <t>isd-stir@palawanpawnshop.com; 'Information Security User Access Management Section' &lt;isd-suam@palawanpawnshop.com&gt;; 'Araceli P. Lim' &lt;aplim@palawanpawnshop.com&gt;; 'Aris D. Ocariza' &lt;adocariza@palawanpawnshop.com&gt;;</t>
  </si>
  <si>
    <t>Tabago,Joebert</t>
  </si>
  <si>
    <t>Sudario,Frecy</t>
  </si>
  <si>
    <t>Valenzuela,Jobalyn</t>
  </si>
  <si>
    <t>Orillos,Bonel</t>
  </si>
  <si>
    <t>Ventura,Jansen Philip L.</t>
  </si>
  <si>
    <t>Enriquez,Kathlyn A.</t>
  </si>
  <si>
    <t>Francia,Kris Ian</t>
  </si>
  <si>
    <t>Pili,Mark Joseph</t>
  </si>
  <si>
    <t>Mission, Alexie.</t>
  </si>
  <si>
    <t>Macatulad, Raymond Nico</t>
  </si>
  <si>
    <t>Enriquez,Wilsen</t>
  </si>
  <si>
    <t>x</t>
  </si>
  <si>
    <t>TO</t>
  </si>
  <si>
    <t>ABDM</t>
  </si>
  <si>
    <t>JDT</t>
  </si>
  <si>
    <t>FFS</t>
  </si>
  <si>
    <t>Detecio,Precy</t>
  </si>
  <si>
    <t>PMED</t>
  </si>
  <si>
    <t>Mr.</t>
  </si>
  <si>
    <t>Ms.</t>
  </si>
  <si>
    <t>Sir</t>
  </si>
  <si>
    <t>Title</t>
  </si>
  <si>
    <t>All,SA</t>
  </si>
  <si>
    <t>KAE</t>
  </si>
  <si>
    <t>RNCM</t>
  </si>
  <si>
    <t>JMV</t>
  </si>
  <si>
    <t>Allias</t>
  </si>
  <si>
    <t>Jobert D. Tabago &lt;jdtabago@palawanpawnshop.com&gt;;</t>
  </si>
  <si>
    <t>Alexie Bayron D. Mission' &lt;abdmission@palawanpawnshop.com&gt;;</t>
  </si>
  <si>
    <t>Frecy F Sudario &lt;ffsudario@palawanpawnshop.com&gt;</t>
  </si>
  <si>
    <t>Jobalyn A. Medrano (jamedrano@palawanpawnshop.com);</t>
  </si>
  <si>
    <t>Precy Mae E. Detecio (pmedetecio@palawanpawnshop.com)</t>
  </si>
  <si>
    <t>All,SUAM</t>
  </si>
  <si>
    <t>Araceli P. Lim' &lt;aplim@palawanpawnshop.com&gt;; 'Aris D. Ocariza' &lt;adocariza@palawanpawnshop.com&gt;; 'Information Security Threat Intelligence and Response Section' &lt;isd-stir@palawanpawnshop.com&gt;;</t>
  </si>
  <si>
    <t>Araceli P. Lim' &lt;aplim@palawanpawnshop.com&gt;; 'Aris D. Ocariza' &lt;adocariza@palawanpawnshop.com&gt;; 'Information Security Threat Intelligence and Response Section' &lt;isd-stir@palawanpawnshop.com&gt;; Raymond C. Mendoza (rcmendoza@palawanpawnshop.com); Ronnie P. Sacares (rpsacares@palawanpawnshop.com);</t>
  </si>
  <si>
    <t>Araceli P. Lim' &lt;aplim@palawanpawnshop.com&gt;; 'Aris D. Ocariza' &lt;adocariza@palawanpawnshop.com&gt;; 'Information Security Threat Intelligence and Response Section' &lt;isd-stir@palawanpawnshop.com&gt;; John Reymond G. Heredero (jrgheredero@palawanpawnshop.com); 'Angelo Ace J. Berueda' &lt;aajberueda@palawanpawnshop.com&gt;; Raymond C. Mendoza (rcmendoza@palawanpawnshop.com);</t>
  </si>
  <si>
    <t>Raymond Nico C. Macatulad (rncmacatulad@palawanpawnshop.com);</t>
  </si>
  <si>
    <t>Kathlyn A. Enriquez (kaenriquez@palawanpawnshop.com);</t>
  </si>
  <si>
    <t>Kris Ian D Francia (kidfrancia@palawanpawnshop.com);</t>
  </si>
  <si>
    <t>KIDF</t>
  </si>
  <si>
    <t>Wilsen Karl B. Enriquez &lt;wkbenriquez@palawanpawnshop.com&gt;;</t>
  </si>
  <si>
    <t>WKBE</t>
  </si>
  <si>
    <t>MJTP</t>
  </si>
  <si>
    <t>Mark Joseph T Pili (mjtpili@palawanpawnshop.com);</t>
  </si>
  <si>
    <t>Bonhel G. Orillos &lt;bgorillos@palawanpawnshop.com&gt;;</t>
  </si>
  <si>
    <t>BGO</t>
  </si>
  <si>
    <t>Jansen Philip L. Ventura &lt;jplventura@palawanpawnshop.com&gt;;</t>
  </si>
  <si>
    <t>JPLV</t>
  </si>
  <si>
    <t>John Reymond G. Heredero (jrgheredero@palawanpawnshop.com);</t>
  </si>
  <si>
    <t xml:space="preserve">Sir </t>
  </si>
  <si>
    <t>JRGH</t>
  </si>
  <si>
    <t>Heredero,John Reymond</t>
  </si>
  <si>
    <t>Araceli P. Lim' &lt;aplim@palawanpawnshop.com&gt;; 'Aris D. Ocariza' &lt;adocariza@palawanpawnshop.com&gt;; 'Information Security Threat Intelligence and Response Section' &lt;isd-stir@palawanpawnshop.com&gt;; Raymond C. Mendoza (rcmendoza@palawanpawnshop.com); 'Angelo Ace J. Berueda' &lt;aajberueda@palawanpawnshop.com&gt;</t>
  </si>
  <si>
    <t>Ronnie P. Sacares (rpsacares@palawanpawnshop.com);</t>
  </si>
  <si>
    <t>RPS</t>
  </si>
  <si>
    <t>Sacares,Ronnie</t>
  </si>
  <si>
    <t>Araceli P. Lim' &lt;aplim@palawanpawnshop.com&gt;; 'Aris D. Ocariza' &lt;adocariza@palawanpawnshop.com&gt;; 'Information Security Threat Intelligence and Response Section' &lt;isd-stir@palawanpawnshop.com&gt;; Raymond C. Mendoza (rcmendoza@palawanpawnshop.com);</t>
  </si>
  <si>
    <t>All,TS.SM</t>
  </si>
  <si>
    <t>TS.SM</t>
  </si>
  <si>
    <t>John Vincent T. Ambrosio (jvtambrosio@palawanpawnshop.com);</t>
  </si>
  <si>
    <t>Ambrosio,John Vincent</t>
  </si>
  <si>
    <t>JVTA</t>
  </si>
  <si>
    <t>Araceli P. Lim' &lt;aplim@palawanpawnshop.com&gt;; 'Aris D. Ocariza' &lt;adocariza@palawanpawnshop.com&gt;; 'Information Security Threat Intelligence and Response Section' &lt;isd-stir@palawanpawnshop.com&gt;; Raymond C. Mendoza (rcmendoza@palawanpawnshop.com); 'Angelo Ace J. Berueda' &lt;aajberueda@palawanpawnshop.com&gt;; John Reymond G. Heredero (jrgheredero@palawanpawnshop.com);</t>
  </si>
  <si>
    <t>itd.ts.sm@palawanpawnshop.com;</t>
  </si>
  <si>
    <t>Information Security User Access Management Section' &lt;isd-suam@palawanpawnshop.com&gt;;</t>
  </si>
  <si>
    <t>TS.SM Team,</t>
  </si>
  <si>
    <t>SUAM Team,</t>
  </si>
  <si>
    <t>SA Team,</t>
  </si>
  <si>
    <t>Please verify if the access is legitimate and if it is legitimate may we know the action done.&lt;br&gt;If it has a CRF/MOP please indicate the reference number to support your action.</t>
  </si>
  <si>
    <t>We received an alert from asset &lt;b&gt;mr401s0209d&lt;/b&gt; using your credential for this command. May I verify if this action is legit ?</t>
  </si>
  <si>
    <t>We received an alert from asset &lt;b&gt;mr401s0209d&lt;/b&gt; using your credential for this command. May I verify if this action is legit ?&lt;br&gt;If it has a CRF/MOP please indicate the reference number to support your action.</t>
  </si>
  <si>
    <t>We acknowledge that you have reported a suspicious email and assure you that the ISD team will thoroughly investigate and analyze it.</t>
  </si>
  <si>
    <t>Thank you for reporting the suspicious email. Please be assured that the ISD team will thoroughly investigate and analyze it</t>
  </si>
  <si>
    <t>Thank you for reporting a suspicious email. Please be assured that our ISD team will conduct a thorough investigation and analysis into the matter. We appreciate your assistance in helping to maintain the security of our systems.</t>
  </si>
  <si>
    <t>Good day Mr./Ms.,</t>
  </si>
  <si>
    <t>Custom FortiSwitch config changes</t>
  </si>
  <si>
    <t>We have detected regarding failed authentications to different accounts using the following credentials from the same uncommon location. &lt;br&gt; May I verify if this action is legit ? And why it's happened ?</t>
  </si>
  <si>
    <t>cr401s0096p</t>
  </si>
  <si>
    <t>isd-sa@palawanpawnshop.com</t>
  </si>
  <si>
    <t>We have detected at Rapid7 regarding virus at their PC2. &lt;br&gt;&lt;b&gt;Machine Name:&lt;/b&gt;&lt;br&gt;May request to full manual scan to a said machine.</t>
  </si>
  <si>
    <t>Custom Alert Account Password Reset</t>
  </si>
  <si>
    <t>Custom Account Password Reset</t>
  </si>
  <si>
    <t>cr401s0100p</t>
  </si>
  <si>
    <t>Pingol,Eraf Joy.</t>
  </si>
  <si>
    <t>EJQP</t>
  </si>
  <si>
    <t>Eraf Q. Pingol &lt;ejqpingol@palawanpawnshop.com&gt;;</t>
  </si>
  <si>
    <t>Account Privilege Escalated</t>
  </si>
  <si>
    <t>Account Visits Suspicious Link</t>
  </si>
  <si>
    <t>ARVIE VICENTE</t>
  </si>
  <si>
    <t>abvicente@palawanpawnshop.com</t>
  </si>
  <si>
    <t>ajhcaoile@palawanpawnshop.com</t>
  </si>
  <si>
    <t>arjavier@palawanpawnshop.com</t>
  </si>
  <si>
    <t>ccmission@palawanpawnshop.com</t>
  </si>
  <si>
    <t>krgmarasigan@palawanpawnshop.com</t>
  </si>
  <si>
    <t>kegamurao@palawanpawnshop.com</t>
  </si>
  <si>
    <t>xbcruz@palawanpawnshop.com</t>
  </si>
  <si>
    <t>dlgallano@palawanpawnshop.com</t>
  </si>
  <si>
    <t>crnavarro@palawanpawnshop.com</t>
  </si>
  <si>
    <t>jtolasa@palawanpawnshop.com</t>
  </si>
  <si>
    <t>gpgibardolaza@palawanpawnshop.com</t>
  </si>
  <si>
    <t>djagadayan@palawanpawnshop.com</t>
  </si>
  <si>
    <t>fggpugna@palawanpawnshop.com</t>
  </si>
  <si>
    <t>Arvie Vicente</t>
  </si>
  <si>
    <t>Arlyn Joy Caoile</t>
  </si>
  <si>
    <t>Alvin Javier</t>
  </si>
  <si>
    <t>Cesa Mission</t>
  </si>
  <si>
    <t>Karla Rhodora Marasigan</t>
  </si>
  <si>
    <t>Karlo Enrico Amurao</t>
  </si>
  <si>
    <t>Xian Cruz</t>
  </si>
  <si>
    <t>Dominic Gallano</t>
  </si>
  <si>
    <t>Chris Navarro</t>
  </si>
  <si>
    <t>Jesshel Olasa</t>
  </si>
  <si>
    <t>Ganiel Paul Ibardolaza</t>
  </si>
  <si>
    <t>Darryl John Gadayan</t>
  </si>
  <si>
    <t>Francis Glenn Pugna</t>
  </si>
  <si>
    <t>Christian Andrianne Altez</t>
  </si>
  <si>
    <t>John Ro Manoos</t>
  </si>
  <si>
    <t>Rona Juan</t>
  </si>
  <si>
    <t>Merick Paglinawan</t>
  </si>
  <si>
    <t>Rebecca Badayos</t>
  </si>
  <si>
    <t>Christian Joseph Pabustan</t>
  </si>
  <si>
    <t>Bonhel Orillos</t>
  </si>
  <si>
    <t>Paolo Nicolo Bacosa</t>
  </si>
  <si>
    <t>Raymart Encarnacion</t>
  </si>
  <si>
    <t>Christoper Estigoy</t>
  </si>
  <si>
    <t>Willgem Lacanienta</t>
  </si>
  <si>
    <t>Michael Cartaciano</t>
  </si>
  <si>
    <t>Van Rhen Galan</t>
  </si>
  <si>
    <t>Roldan Sedon</t>
  </si>
  <si>
    <t>Khryzz Cyna Sebido</t>
  </si>
  <si>
    <t>John Albert Cruz</t>
  </si>
  <si>
    <t>John Brylle Romualdo</t>
  </si>
  <si>
    <t>Bryan Angelo Galan</t>
  </si>
  <si>
    <t>Val Guiller Manoos</t>
  </si>
  <si>
    <t>Cloud</t>
  </si>
  <si>
    <t>Email</t>
  </si>
  <si>
    <t>bgorillos@palawanpawnshop.com</t>
  </si>
  <si>
    <t>balgalan@palawanpawnshop.com</t>
  </si>
  <si>
    <t>caraltez@palawanpawnshop.com</t>
  </si>
  <si>
    <t>cjfpabustan@palawanpawnshop.com</t>
  </si>
  <si>
    <t>csestigoy@palawanpawnshop.com</t>
  </si>
  <si>
    <t>jabcruz@palawanpawnshop.com</t>
  </si>
  <si>
    <t>jbjromualdo@palawanpawnshop.com</t>
  </si>
  <si>
    <t>jrmmanoos@palawanpawnshop.com</t>
  </si>
  <si>
    <t>jdclavacio@palawanpawnshop.com</t>
  </si>
  <si>
    <t>kcpsebido@palawanpawnshop.com</t>
  </si>
  <si>
    <t>mapaglinawan@palawanpawnshop.com</t>
  </si>
  <si>
    <t>mdcartaciano@palawanpawnshop.com</t>
  </si>
  <si>
    <t>pnpbacosa@palawanpawnshop.com</t>
  </si>
  <si>
    <t>rdencarnacion@palawanpawnshop.com</t>
  </si>
  <si>
    <t>rfbadayos@palawanpawnshop.com</t>
  </si>
  <si>
    <t>rfsedon@palawanpawnshop.com</t>
  </si>
  <si>
    <t>rrjuan@palawanpawnshop.com</t>
  </si>
  <si>
    <t>rshubilla@palawanpawnshop.com</t>
  </si>
  <si>
    <t>samabella@palawanpawnshop.com</t>
  </si>
  <si>
    <t>vgmmanoos@palawanpawnshop.com</t>
  </si>
  <si>
    <t>vrmgalan@palawanpawnshop.com</t>
  </si>
  <si>
    <t>welacanienta@palawanpawnshop.com</t>
  </si>
  <si>
    <t>RALPH ADRIANE OLESCO</t>
  </si>
  <si>
    <t>RACHEL MARTINEZ</t>
  </si>
  <si>
    <t>PAUL VILLENA</t>
  </si>
  <si>
    <t>radolesco@palawanpawnshop.com</t>
  </si>
  <si>
    <t>romartinez@palawanpawnshop.com</t>
  </si>
  <si>
    <t>pavillena@palawanpawnshop.com</t>
  </si>
  <si>
    <t>MJHG</t>
  </si>
  <si>
    <t>Gumanit,Mary Joy</t>
  </si>
  <si>
    <t>Mary Joy H. Gumanit (mjhgumanit@palawanpawnshop.com)</t>
  </si>
  <si>
    <t>False Positive. The detected IP was belong to the user</t>
  </si>
  <si>
    <t>Marquez,Arnel</t>
  </si>
  <si>
    <t>ARM</t>
  </si>
  <si>
    <t>aramarquez@palawanpawnshop.com;</t>
  </si>
  <si>
    <t>Custom Alert Fortimail Config Changes</t>
  </si>
  <si>
    <t>Non-Issue, implementation of "LAN cache" related to CRF No. "CR230511-285"</t>
  </si>
  <si>
    <t>RMCR</t>
  </si>
  <si>
    <t>Robrigado,Rizza Mae</t>
  </si>
  <si>
    <t>rmcrobrigado@palawanpawnshop.com;</t>
  </si>
  <si>
    <t>isd-stir@palawanpawnshop.com; 'Araceli P. Lim' &lt;aplim@palawanpawnshop.com&gt;; 'Aris D. Ocariza' &lt;adocariza@palawanpawnshop.com&gt;;</t>
  </si>
  <si>
    <t>Account mbestenzo re-enabled by pmedetecio</t>
  </si>
  <si>
    <t xml:space="preserve">Good day Ms. Gumanit, </t>
  </si>
  <si>
    <t xml:space="preserve">We would like to take this opportunity to emphasize the significance of accuracy and error prevention in our day-to-day tasks. </t>
  </si>
  <si>
    <t xml:space="preserve">It has come to our attention that occasional mistakes and oversights have occurred, leading to unnecessary delays and subsequent corrective actions. </t>
  </si>
  <si>
    <t>In order to maintain a high standard of quality and efficiency, we kindly request your utmost attention and adherence to the following reminder:</t>
  </si>
  <si>
    <t>1. Double Check Before Completing</t>
  </si>
  <si>
    <t>2. Mistake Prevention</t>
  </si>
  <si>
    <t>We encourage you to embrace a proactive approach to error prevention and incorporate these practices into your daily routine.</t>
  </si>
  <si>
    <t>Detection Evasion - Event Log Deletion</t>
  </si>
  <si>
    <t>Jun 6, 2023 11:37:46 AM</t>
  </si>
  <si>
    <t>vpnssl8147</t>
  </si>
  <si>
    <t>Jun 6, 2023 11:34:00 AM</t>
  </si>
  <si>
    <t>rgmamora</t>
  </si>
  <si>
    <t>Jun 6, 2023 3:42:03 PM</t>
  </si>
  <si>
    <t xml:space="preserve">vpnssl7189 </t>
  </si>
  <si>
    <t>FRANCIS LOQUIAS</t>
  </si>
  <si>
    <t>HO-Main</t>
  </si>
  <si>
    <t>RYAN MAMORA</t>
  </si>
  <si>
    <t>Italy</t>
  </si>
  <si>
    <t>Philippines</t>
  </si>
  <si>
    <t>Japan</t>
  </si>
  <si>
    <t>SOURCE IP</t>
  </si>
  <si>
    <t>ASSET USED</t>
  </si>
  <si>
    <t>Please verify if the access is legitimate and if it is legitimate may we know the action done. Upon checking the said asset source was from.</t>
  </si>
  <si>
    <t>Third Party Alert</t>
  </si>
  <si>
    <t>False Positive, SA team set a missing path on behavior monitoring of anti-virus "D:\CAS-Netsuite\CashierEntry\app-2.28.0\" instead of "D:\CAS-Netsuite\CashierEntry\app-2.28.0\BCAS.exe".</t>
  </si>
  <si>
    <t>Berueda, Angelo Ace</t>
  </si>
  <si>
    <t>AAJB</t>
  </si>
  <si>
    <t>Angelo Ace J. Berueda' &lt;aajberueda@palawanpawnshop.com&gt;</t>
  </si>
  <si>
    <t>Target Account</t>
  </si>
  <si>
    <t>User Who Modify</t>
  </si>
  <si>
    <t>Date Modify</t>
  </si>
  <si>
    <t>Time Modify</t>
  </si>
  <si>
    <t>It is Legit ? (Y/N)</t>
  </si>
  <si>
    <t>Ctrl No.</t>
  </si>
  <si>
    <t>mjfegnora</t>
  </si>
  <si>
    <t>hmmationg</t>
  </si>
  <si>
    <t>Y</t>
  </si>
  <si>
    <t>A00004825</t>
  </si>
  <si>
    <t>Reference No./ OSTicket No.</t>
  </si>
  <si>
    <t>Return from leave</t>
  </si>
  <si>
    <t>S-20230607-0</t>
  </si>
  <si>
    <t>For SUAM Index</t>
  </si>
  <si>
    <t>Date Response</t>
  </si>
  <si>
    <t>User Reponse</t>
  </si>
  <si>
    <t>Ingress from Privileged Account</t>
  </si>
  <si>
    <t>False Positive, The user confirm that the ip used</t>
  </si>
  <si>
    <t>This is to inform you that we have received an alert regarding the usage of your IP address on 24th July 2023 at approximately 9:15 AM.&lt;br&gt;&lt;br&gt;Upon conducting a thorough investigation, we have found that the IP address "&lt;b&gt;64.224.96.12&lt;/b&gt;" is registered under the ownership of the &lt;b&gt;Globe Telecom Inc&lt;/b&gt; and its location was traced to &lt;b&gt;Cavite&lt;/b&gt;.&lt;br&gt;May I verify if it belongs to yours.</t>
  </si>
  <si>
    <t>Custom Email Authentication From Other Country</t>
  </si>
  <si>
    <t>IPA</t>
  </si>
  <si>
    <t>Custom Alert Regarding WAF</t>
  </si>
  <si>
    <t>WAF_Action</t>
  </si>
  <si>
    <t>Destination</t>
  </si>
  <si>
    <t>Source_Country</t>
  </si>
  <si>
    <t>Source</t>
  </si>
  <si>
    <t>Policy</t>
  </si>
  <si>
    <t>Sub/Attack_Type</t>
  </si>
  <si>
    <t>Main_Type</t>
  </si>
  <si>
    <t>Date_Alert</t>
  </si>
  <si>
    <t>Virus_Total</t>
  </si>
  <si>
    <t>MX_Toolbox</t>
  </si>
  <si>
    <t>Assessment</t>
  </si>
  <si>
    <t>Date Request</t>
  </si>
  <si>
    <t>Requested by</t>
  </si>
  <si>
    <t>Domain Name</t>
  </si>
  <si>
    <t>Purpose</t>
  </si>
  <si>
    <t>Date Req to Network</t>
  </si>
  <si>
    <t>Date Provide</t>
  </si>
  <si>
    <t>Date Added to WAF</t>
  </si>
  <si>
    <t>SEIM</t>
  </si>
  <si>
    <t>REQUEST</t>
  </si>
  <si>
    <t>United States</t>
  </si>
  <si>
    <t>Sweden</t>
  </si>
  <si>
    <t>Germany</t>
  </si>
  <si>
    <t>Saudi Arabia</t>
  </si>
  <si>
    <t>Custom Alert Email Authentication From Other Country</t>
  </si>
  <si>
    <t>TM</t>
  </si>
  <si>
    <t>ijbdeguzman@palawanpawnshop.com</t>
  </si>
  <si>
    <t>ccdloreno@palawanpawnshop.com</t>
  </si>
  <si>
    <t>India</t>
  </si>
  <si>
    <t>Netherlands</t>
  </si>
  <si>
    <t>Finland</t>
  </si>
  <si>
    <t>Spain</t>
  </si>
  <si>
    <t>Ireland</t>
  </si>
  <si>
    <t>Macao</t>
  </si>
  <si>
    <t>Ukraine</t>
  </si>
  <si>
    <t>dvk-tirona-cl1</t>
  </si>
  <si>
    <t>Good day Sir</t>
  </si>
  <si>
    <t>CMVG</t>
  </si>
  <si>
    <t>cmvgarcellano@palawanpawnshop.com;</t>
  </si>
  <si>
    <t>Garcellano,Charm Mae</t>
  </si>
  <si>
    <t>jrgdelacruzjr@palawanpawnshop.com</t>
  </si>
  <si>
    <t>JRGDC</t>
  </si>
  <si>
    <t>Dela Cruz Jr,Jhon Romeo</t>
  </si>
  <si>
    <t>jkaepe@palawanpawnshop.com</t>
  </si>
  <si>
    <t>Pe,John Karl Albert</t>
  </si>
  <si>
    <t>JKAEB</t>
  </si>
  <si>
    <t>Hong Kong</t>
  </si>
  <si>
    <t>Singapore</t>
  </si>
  <si>
    <t>Kuwait</t>
  </si>
  <si>
    <t>IN</t>
  </si>
  <si>
    <t>United Kingdom</t>
  </si>
  <si>
    <t>Account anoareola re-enabled by ffsudario</t>
  </si>
  <si>
    <t>Denmark</t>
  </si>
  <si>
    <t>Hungary</t>
  </si>
  <si>
    <t>Luxembourg</t>
  </si>
  <si>
    <t>mearpon@palawanpawnshop.com</t>
  </si>
  <si>
    <t>Arpon,Marlou</t>
  </si>
  <si>
    <t>MEA</t>
  </si>
  <si>
    <t>svvelasquez@palawanpawnshop.com</t>
  </si>
  <si>
    <t>Velasquez,Sherwin</t>
  </si>
  <si>
    <t>SVV</t>
  </si>
  <si>
    <t>France</t>
  </si>
  <si>
    <t>Switzerland</t>
  </si>
  <si>
    <t>Indonesia</t>
  </si>
  <si>
    <t>IP_Abuse</t>
  </si>
  <si>
    <t>URL_Trigger</t>
  </si>
  <si>
    <t>Attack Type</t>
  </si>
  <si>
    <t>Country</t>
  </si>
  <si>
    <t>Target</t>
  </si>
  <si>
    <t>Canada</t>
  </si>
  <si>
    <t>Russian Federation</t>
  </si>
  <si>
    <t>Romania</t>
  </si>
  <si>
    <t>Vietnam</t>
  </si>
  <si>
    <t>Afghanistan</t>
  </si>
  <si>
    <t>AF</t>
  </si>
  <si>
    <t>AFG</t>
  </si>
  <si>
    <t>Albania</t>
  </si>
  <si>
    <t>AL</t>
  </si>
  <si>
    <t>ALB</t>
  </si>
  <si>
    <t>Algeria</t>
  </si>
  <si>
    <t>DZ</t>
  </si>
  <si>
    <t>DZA</t>
  </si>
  <si>
    <t>American Samoa</t>
  </si>
  <si>
    <t>AS</t>
  </si>
  <si>
    <t>ASM</t>
  </si>
  <si>
    <t>Andorra</t>
  </si>
  <si>
    <t>AD</t>
  </si>
  <si>
    <t>AND</t>
  </si>
  <si>
    <t>Angola</t>
  </si>
  <si>
    <t>AO</t>
  </si>
  <si>
    <t>AGO</t>
  </si>
  <si>
    <t>Anguilla</t>
  </si>
  <si>
    <t>AI</t>
  </si>
  <si>
    <t>AIA</t>
  </si>
  <si>
    <t>Antarctica</t>
  </si>
  <si>
    <t>AQ</t>
  </si>
  <si>
    <t>ATA</t>
  </si>
  <si>
    <t>Antigua and Barbuda</t>
  </si>
  <si>
    <t>AG</t>
  </si>
  <si>
    <t>ATG</t>
  </si>
  <si>
    <t>Argentina</t>
  </si>
  <si>
    <t>AR</t>
  </si>
  <si>
    <t>ARG</t>
  </si>
  <si>
    <t>Armenia</t>
  </si>
  <si>
    <t>AM</t>
  </si>
  <si>
    <t>Aruba</t>
  </si>
  <si>
    <t>AW</t>
  </si>
  <si>
    <t>ABW</t>
  </si>
  <si>
    <t>Australia</t>
  </si>
  <si>
    <t>AU</t>
  </si>
  <si>
    <t>AUS</t>
  </si>
  <si>
    <t>Austria</t>
  </si>
  <si>
    <t>AT</t>
  </si>
  <si>
    <t>AUT</t>
  </si>
  <si>
    <t>Azerbaijan</t>
  </si>
  <si>
    <t>AZ</t>
  </si>
  <si>
    <t>AZE</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</si>
  <si>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</si>
  <si>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</si>
  <si>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</si>
  <si>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</si>
  <si>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</si>
  <si>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</si>
  <si>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</si>
  <si>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</si>
  <si>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</si>
  <si>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</si>
  <si>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</si>
  <si>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</si>
  <si>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</si>
  <si>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</si>
  <si>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</si>
  <si>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</si>
  <si>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</si>
  <si>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</si>
  <si>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</si>
  <si>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</si>
  <si>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</si>
  <si>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</si>
  <si>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</si>
  <si>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</si>
  <si>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</si>
  <si>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</si>
  <si>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</si>
  <si>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</si>
  <si>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</si>
  <si>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 (Plurinational State of)</t>
  </si>
  <si>
    <t>BO</t>
  </si>
  <si>
    <t>BOL</t>
  </si>
  <si>
    <t>Bonaire, Sint Eustatius and Saba</t>
  </si>
  <si>
    <t>BQ</t>
  </si>
  <si>
    <t>BES</t>
  </si>
  <si>
    <t>Bosnia and Herzegovina</t>
  </si>
  <si>
    <t>BA</t>
  </si>
  <si>
    <t>BIH</t>
  </si>
  <si>
    <t>Botswana</t>
  </si>
  <si>
    <t>BW</t>
  </si>
  <si>
    <t>BWA</t>
  </si>
  <si>
    <t>Bouvet Island</t>
  </si>
  <si>
    <t>BV</t>
  </si>
  <si>
    <t>BVT</t>
  </si>
  <si>
    <t>Brazil</t>
  </si>
  <si>
    <t>BR</t>
  </si>
  <si>
    <t>BRA</t>
  </si>
  <si>
    <t>IO</t>
  </si>
  <si>
    <t>IOT</t>
  </si>
  <si>
    <t>Brunei Darussalam</t>
  </si>
  <si>
    <t>BN</t>
  </si>
  <si>
    <t>BRN</t>
  </si>
  <si>
    <t>Bulgaria</t>
  </si>
  <si>
    <t>BG</t>
  </si>
  <si>
    <t>BGR</t>
  </si>
  <si>
    <t>Burkina Faso</t>
  </si>
  <si>
    <t>BFA</t>
  </si>
  <si>
    <t>Burundi</t>
  </si>
  <si>
    <t>BI</t>
  </si>
  <si>
    <t>BDI</t>
  </si>
  <si>
    <t>Cabo Verde</t>
  </si>
  <si>
    <t>CV</t>
  </si>
  <si>
    <t>CPV</t>
  </si>
  <si>
    <t>Cambodia</t>
  </si>
  <si>
    <t>KH</t>
  </si>
  <si>
    <t>KHM</t>
  </si>
  <si>
    <t>Cameroon</t>
  </si>
  <si>
    <t>CM</t>
  </si>
  <si>
    <t>CMR</t>
  </si>
  <si>
    <t>CA</t>
  </si>
  <si>
    <t>CAN</t>
  </si>
  <si>
    <t>KY</t>
  </si>
  <si>
    <t>CYM</t>
  </si>
  <si>
    <t>CF</t>
  </si>
  <si>
    <t>CAF</t>
  </si>
  <si>
    <t>Chad</t>
  </si>
  <si>
    <t>TD</t>
  </si>
  <si>
    <t>TCD</t>
  </si>
  <si>
    <t>Chile</t>
  </si>
  <si>
    <t>CL</t>
  </si>
  <si>
    <t>CHL</t>
  </si>
  <si>
    <t>China</t>
  </si>
  <si>
    <t>CN</t>
  </si>
  <si>
    <t>CHN</t>
  </si>
  <si>
    <t>Christmas Island</t>
  </si>
  <si>
    <t>CX</t>
  </si>
  <si>
    <t>CXR</t>
  </si>
  <si>
    <t>CCK</t>
  </si>
  <si>
    <t>Colombia</t>
  </si>
  <si>
    <t>CO</t>
  </si>
  <si>
    <t>COL</t>
  </si>
  <si>
    <t>KM</t>
  </si>
  <si>
    <t>COM</t>
  </si>
  <si>
    <t>CD</t>
  </si>
  <si>
    <t>COD</t>
  </si>
  <si>
    <t>CG</t>
  </si>
  <si>
    <t>COG</t>
  </si>
  <si>
    <t>CK</t>
  </si>
  <si>
    <t>COK</t>
  </si>
  <si>
    <t>Costa Rica</t>
  </si>
  <si>
    <t>CR</t>
  </si>
  <si>
    <t>CRI</t>
  </si>
  <si>
    <t>Croatia</t>
  </si>
  <si>
    <t>HR</t>
  </si>
  <si>
    <t>HRV</t>
  </si>
  <si>
    <t>Cuba</t>
  </si>
  <si>
    <t>CU</t>
  </si>
  <si>
    <t>CUB</t>
  </si>
  <si>
    <t>Curaçao</t>
  </si>
  <si>
    <t>CW</t>
  </si>
  <si>
    <t>CUW</t>
  </si>
  <si>
    <t>Cyprus</t>
  </si>
  <si>
    <t>CY</t>
  </si>
  <si>
    <t>CYP</t>
  </si>
  <si>
    <t>Czechia</t>
  </si>
  <si>
    <t>CZ</t>
  </si>
  <si>
    <t>CZE</t>
  </si>
  <si>
    <t>Côte d'Ivoire</t>
  </si>
  <si>
    <t>CI</t>
  </si>
  <si>
    <t>CIV</t>
  </si>
  <si>
    <t>DK</t>
  </si>
  <si>
    <t>DNK</t>
  </si>
  <si>
    <t>Djibouti</t>
  </si>
  <si>
    <t>DJ</t>
  </si>
  <si>
    <t>DJI</t>
  </si>
  <si>
    <t>Dominica</t>
  </si>
  <si>
    <t>DM</t>
  </si>
  <si>
    <t>DMA</t>
  </si>
  <si>
    <t>DO</t>
  </si>
  <si>
    <t>DOM</t>
  </si>
  <si>
    <t>Ecuador</t>
  </si>
  <si>
    <t>EC</t>
  </si>
  <si>
    <t>ECU</t>
  </si>
  <si>
    <t>Egypt</t>
  </si>
  <si>
    <t>EG</t>
  </si>
  <si>
    <t>EGY</t>
  </si>
  <si>
    <t>El Salvador</t>
  </si>
  <si>
    <t>SV</t>
  </si>
  <si>
    <t>SLV</t>
  </si>
  <si>
    <t>Equatorial Guinea</t>
  </si>
  <si>
    <t>GQ</t>
  </si>
  <si>
    <t>GNQ</t>
  </si>
  <si>
    <t>Eritrea</t>
  </si>
  <si>
    <t>ER</t>
  </si>
  <si>
    <t>ERI</t>
  </si>
  <si>
    <t>Estonia</t>
  </si>
  <si>
    <t>EE</t>
  </si>
  <si>
    <t>EST</t>
  </si>
  <si>
    <t>Eswatini</t>
  </si>
  <si>
    <t>SZ</t>
  </si>
  <si>
    <t>SWZ</t>
  </si>
  <si>
    <t>Ethiopia</t>
  </si>
  <si>
    <t>ET</t>
  </si>
  <si>
    <t>ETH</t>
  </si>
  <si>
    <t>FK</t>
  </si>
  <si>
    <t>FLK</t>
  </si>
  <si>
    <t>FO</t>
  </si>
  <si>
    <t>FRO</t>
  </si>
  <si>
    <t>Fiji</t>
  </si>
  <si>
    <t>FJ</t>
  </si>
  <si>
    <t>FJI</t>
  </si>
  <si>
    <t>FI</t>
  </si>
  <si>
    <t>FIN</t>
  </si>
  <si>
    <t>FR</t>
  </si>
  <si>
    <t>FRA</t>
  </si>
  <si>
    <t>French Guiana</t>
  </si>
  <si>
    <t>GF</t>
  </si>
  <si>
    <t>GUF</t>
  </si>
  <si>
    <t>French Polynesia</t>
  </si>
  <si>
    <t>PF</t>
  </si>
  <si>
    <t>PYF</t>
  </si>
  <si>
    <t>French Southern Territories (the)</t>
  </si>
  <si>
    <t>TF</t>
  </si>
  <si>
    <t>ATF</t>
  </si>
  <si>
    <t>Gabon</t>
  </si>
  <si>
    <t>GA</t>
  </si>
  <si>
    <t>GAB</t>
  </si>
  <si>
    <t>GM</t>
  </si>
  <si>
    <t>GMB</t>
  </si>
  <si>
    <t>Georgia</t>
  </si>
  <si>
    <t>GE</t>
  </si>
  <si>
    <t>GEO</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</si>
  <si>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</si>
  <si>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</si>
  <si>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</si>
  <si>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</si>
  <si>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</si>
  <si>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</si>
  <si>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</si>
  <si>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</si>
  <si>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</si>
  <si>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</si>
  <si>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</si>
  <si>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</si>
  <si>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</si>
  <si>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</si>
  <si>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</si>
  <si>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</si>
  <si>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</si>
  <si>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</si>
  <si>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</si>
  <si>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</si>
  <si>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</si>
  <si>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</si>
  <si>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</si>
  <si>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</si>
  <si>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</si>
  <si>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</si>
  <si>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</si>
  <si>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</si>
  <si>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</si>
  <si>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Guinea</t>
  </si>
  <si>
    <t>GN</t>
  </si>
  <si>
    <t>GIN</t>
  </si>
  <si>
    <t>Guinea-Bissau</t>
  </si>
  <si>
    <t>GW</t>
  </si>
  <si>
    <t>GNB</t>
  </si>
  <si>
    <t>Guyana</t>
  </si>
  <si>
    <t>GY</t>
  </si>
  <si>
    <t>GUY</t>
  </si>
  <si>
    <t>Haiti</t>
  </si>
  <si>
    <t>HT</t>
  </si>
  <si>
    <t>HTI</t>
  </si>
  <si>
    <t>Heard Island and McDonald Islands</t>
  </si>
  <si>
    <t>HM</t>
  </si>
  <si>
    <t>HMD</t>
  </si>
  <si>
    <t>VAT</t>
  </si>
  <si>
    <t>Honduras</t>
  </si>
  <si>
    <t>HN</t>
  </si>
  <si>
    <t>HND</t>
  </si>
  <si>
    <t>HK</t>
  </si>
  <si>
    <t>HKG</t>
  </si>
  <si>
    <t>HU</t>
  </si>
  <si>
    <t>HUN</t>
  </si>
  <si>
    <t>Iceland</t>
  </si>
  <si>
    <t>IS</t>
  </si>
  <si>
    <t>ISL</t>
  </si>
  <si>
    <t>IND</t>
  </si>
  <si>
    <t>ID</t>
  </si>
  <si>
    <t>IDN</t>
  </si>
  <si>
    <t>Iran (Islamic Republic of)</t>
  </si>
  <si>
    <t>IR</t>
  </si>
  <si>
    <t>IRN</t>
  </si>
  <si>
    <t>Iraq</t>
  </si>
  <si>
    <t>IQ</t>
  </si>
  <si>
    <t>IRQ</t>
  </si>
  <si>
    <t>IE</t>
  </si>
  <si>
    <t>IRL</t>
  </si>
  <si>
    <t>Isle of Man</t>
  </si>
  <si>
    <t>IM</t>
  </si>
  <si>
    <t>IMN</t>
  </si>
  <si>
    <t>Israel</t>
  </si>
  <si>
    <t>IL</t>
  </si>
  <si>
    <t>ISR</t>
  </si>
  <si>
    <t>ITA</t>
  </si>
  <si>
    <t>Jamaica</t>
  </si>
  <si>
    <t>JM</t>
  </si>
  <si>
    <t>JAM</t>
  </si>
  <si>
    <t>JP</t>
  </si>
  <si>
    <t>JPN</t>
  </si>
  <si>
    <t>Jersey</t>
  </si>
  <si>
    <t>JE</t>
  </si>
  <si>
    <t>JEY</t>
  </si>
  <si>
    <t>Jordan</t>
  </si>
  <si>
    <t>JO</t>
  </si>
  <si>
    <t>JOR</t>
  </si>
  <si>
    <t>Kazakhstan</t>
  </si>
  <si>
    <t>KZ</t>
  </si>
  <si>
    <t>KAZ</t>
  </si>
  <si>
    <t>Kenya</t>
  </si>
  <si>
    <t>KE</t>
  </si>
  <si>
    <t>KEN</t>
  </si>
  <si>
    <t>Kiribati</t>
  </si>
  <si>
    <t>KI</t>
  </si>
  <si>
    <t>KIR</t>
  </si>
  <si>
    <t>KP</t>
  </si>
  <si>
    <t>PRK</t>
  </si>
  <si>
    <t>KR</t>
  </si>
  <si>
    <t>KOR</t>
  </si>
  <si>
    <t>KW</t>
  </si>
  <si>
    <t>KWT</t>
  </si>
  <si>
    <t>Kyrgyzstan</t>
  </si>
  <si>
    <t>KG</t>
  </si>
  <si>
    <t>KGZ</t>
  </si>
  <si>
    <t>Lao People's Democratic Republic (the)</t>
  </si>
  <si>
    <t>LA</t>
  </si>
  <si>
    <t>LAO</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</si>
  <si>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</si>
  <si>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</si>
  <si>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</si>
  <si>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</si>
  <si>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</si>
  <si>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</si>
  <si>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</si>
  <si>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</si>
  <si>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</si>
  <si>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</si>
  <si>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</si>
  <si>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</si>
  <si>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</si>
  <si>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</si>
  <si>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</si>
  <si>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</si>
  <si>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</si>
  <si>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</si>
  <si>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</si>
  <si>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</si>
  <si>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</si>
  <si>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t>
  </si>
  <si>
    <t>LUX</t>
  </si>
  <si>
    <t>MO</t>
  </si>
  <si>
    <t>MAC</t>
  </si>
  <si>
    <t>Madagascar</t>
  </si>
  <si>
    <t>MG</t>
  </si>
  <si>
    <t>MDG</t>
  </si>
  <si>
    <t>Malawi</t>
  </si>
  <si>
    <t>MW</t>
  </si>
  <si>
    <t>MWI</t>
  </si>
  <si>
    <t>Malaysia</t>
  </si>
  <si>
    <t>MY</t>
  </si>
  <si>
    <t>MYS</t>
  </si>
  <si>
    <t>Maldives</t>
  </si>
  <si>
    <t>MV</t>
  </si>
  <si>
    <t>MDV</t>
  </si>
  <si>
    <t>Mali</t>
  </si>
  <si>
    <t>ML</t>
  </si>
  <si>
    <t>MLI</t>
  </si>
  <si>
    <t>Malta</t>
  </si>
  <si>
    <t>MT</t>
  </si>
  <si>
    <t>MLT</t>
  </si>
  <si>
    <t>MH</t>
  </si>
  <si>
    <t>MHL</t>
  </si>
  <si>
    <t>Martinique</t>
  </si>
  <si>
    <t>MQ</t>
  </si>
  <si>
    <t>MTQ</t>
  </si>
  <si>
    <t>Mauritania</t>
  </si>
  <si>
    <t>MR</t>
  </si>
  <si>
    <t>MRT</t>
  </si>
  <si>
    <t>Mauritius</t>
  </si>
  <si>
    <t>MU</t>
  </si>
  <si>
    <t>MUS</t>
  </si>
  <si>
    <t>Mayotte</t>
  </si>
  <si>
    <t>YT</t>
  </si>
  <si>
    <t>MYT</t>
  </si>
  <si>
    <t>Mexico</t>
  </si>
  <si>
    <t>MX</t>
  </si>
  <si>
    <t>MEX</t>
  </si>
  <si>
    <t>Micronesia (Federated States of)</t>
  </si>
  <si>
    <t>FM</t>
  </si>
  <si>
    <t>FSM</t>
  </si>
  <si>
    <t>MD</t>
  </si>
  <si>
    <t>MDA</t>
  </si>
  <si>
    <t>Monaco</t>
  </si>
  <si>
    <t>MC</t>
  </si>
  <si>
    <t>MCO</t>
  </si>
  <si>
    <t>Mongolia</t>
  </si>
  <si>
    <t>MN</t>
  </si>
  <si>
    <t>MNG</t>
  </si>
  <si>
    <t>Montenegro</t>
  </si>
  <si>
    <t>ME</t>
  </si>
  <si>
    <t>MNE</t>
  </si>
  <si>
    <t>Montserrat</t>
  </si>
  <si>
    <t>MS</t>
  </si>
  <si>
    <t>MSR</t>
  </si>
  <si>
    <t>Morocco</t>
  </si>
  <si>
    <t>MA</t>
  </si>
  <si>
    <t>MAR</t>
  </si>
  <si>
    <t>Mozambique</t>
  </si>
  <si>
    <t>MZ</t>
  </si>
  <si>
    <t>MOZ</t>
  </si>
  <si>
    <t>Myanmar</t>
  </si>
  <si>
    <t>MM</t>
  </si>
  <si>
    <t>MMR</t>
  </si>
  <si>
    <t>Namibia</t>
  </si>
  <si>
    <t>NA</t>
  </si>
  <si>
    <t>NAM</t>
  </si>
  <si>
    <t>Nauru</t>
  </si>
  <si>
    <t>NR</t>
  </si>
  <si>
    <t>NRU</t>
  </si>
  <si>
    <t>Nepal</t>
  </si>
  <si>
    <t>NP</t>
  </si>
  <si>
    <t>NPL</t>
  </si>
  <si>
    <t>NL</t>
  </si>
  <si>
    <t>NLD</t>
  </si>
  <si>
    <t>New Caledonia</t>
  </si>
  <si>
    <t>NC</t>
  </si>
  <si>
    <t>NCL</t>
  </si>
  <si>
    <t>New Zealand</t>
  </si>
  <si>
    <t>NZ</t>
  </si>
  <si>
    <t>NZL</t>
  </si>
  <si>
    <t>Nicaragua</t>
  </si>
  <si>
    <t>NI</t>
  </si>
  <si>
    <t>NIC</t>
  </si>
  <si>
    <t>NE</t>
  </si>
  <si>
    <t>NER</t>
  </si>
  <si>
    <t>Nigeria</t>
  </si>
  <si>
    <t>NG</t>
  </si>
  <si>
    <t>NGA</t>
  </si>
  <si>
    <t>Niue</t>
  </si>
  <si>
    <t>NU</t>
  </si>
  <si>
    <t>NIU</t>
  </si>
  <si>
    <t>Norfolk Island</t>
  </si>
  <si>
    <t>NF</t>
  </si>
  <si>
    <t>NFK</t>
  </si>
  <si>
    <t>MP</t>
  </si>
  <si>
    <t>MNP</t>
  </si>
  <si>
    <t>Norway</t>
  </si>
  <si>
    <t>NO</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</si>
  <si>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</si>
  <si>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</si>
  <si>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</si>
  <si>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</si>
  <si>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</si>
  <si>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</si>
  <si>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</si>
  <si>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</si>
  <si>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</si>
  <si>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</si>
  <si>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</si>
  <si>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</si>
  <si>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</si>
  <si>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</si>
  <si>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</si>
  <si>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</si>
  <si>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</si>
  <si>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</si>
  <si>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</si>
  <si>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</si>
  <si>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</si>
  <si>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</si>
  <si>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</si>
  <si>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</si>
  <si>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</si>
  <si>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t>
  </si>
  <si>
    <t>PHL</t>
  </si>
  <si>
    <t>Pitcairn</t>
  </si>
  <si>
    <t>PN</t>
  </si>
  <si>
    <t>PCN</t>
  </si>
  <si>
    <t>Poland</t>
  </si>
  <si>
    <t>PL</t>
  </si>
  <si>
    <t>POL</t>
  </si>
  <si>
    <t>Portugal</t>
  </si>
  <si>
    <t>PT</t>
  </si>
  <si>
    <t>PRT</t>
  </si>
  <si>
    <t>Puerto Rico</t>
  </si>
  <si>
    <t>PR</t>
  </si>
  <si>
    <t>PRI</t>
  </si>
  <si>
    <t>Qatar</t>
  </si>
  <si>
    <t>QA</t>
  </si>
  <si>
    <t>QAT</t>
  </si>
  <si>
    <t>Republic of North Macedonia</t>
  </si>
  <si>
    <t>MK</t>
  </si>
  <si>
    <t>MKD</t>
  </si>
  <si>
    <t>RO</t>
  </si>
  <si>
    <t>ROU</t>
  </si>
  <si>
    <t>RU</t>
  </si>
  <si>
    <t>RUS</t>
  </si>
  <si>
    <t>Rwanda</t>
  </si>
  <si>
    <t>RW</t>
  </si>
  <si>
    <t>RWA</t>
  </si>
  <si>
    <t>Réunion</t>
  </si>
  <si>
    <t>RE</t>
  </si>
  <si>
    <t>REU</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</si>
  <si>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</si>
  <si>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</si>
  <si>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</si>
  <si>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</si>
  <si>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</si>
  <si>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</si>
  <si>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</si>
  <si>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</si>
  <si>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</si>
  <si>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</si>
  <si>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</si>
  <si>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</si>
  <si>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</si>
  <si>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</si>
  <si>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</si>
  <si>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</si>
  <si>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</si>
  <si>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</si>
  <si>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</si>
  <si>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</si>
  <si>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</si>
  <si>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</si>
  <si>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</si>
  <si>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</si>
  <si>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</si>
  <si>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</si>
  <si>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</si>
  <si>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Sao Tome and Principe</t>
  </si>
  <si>
    <t>ST</t>
  </si>
  <si>
    <t>STP</t>
  </si>
  <si>
    <t>SAU</t>
  </si>
  <si>
    <t>Senegal</t>
  </si>
  <si>
    <t>SN</t>
  </si>
  <si>
    <t>SEN</t>
  </si>
  <si>
    <t>Serbia</t>
  </si>
  <si>
    <t>RS</t>
  </si>
  <si>
    <t>SRB</t>
  </si>
  <si>
    <t>Seychelles</t>
  </si>
  <si>
    <t>SC</t>
  </si>
  <si>
    <t>SYC</t>
  </si>
  <si>
    <t>Sierra Leone</t>
  </si>
  <si>
    <t>SL</t>
  </si>
  <si>
    <t>SLE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</si>
  <si>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</si>
  <si>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</si>
  <si>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</si>
  <si>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</si>
  <si>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</si>
  <si>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</si>
  <si>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</si>
  <si>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</si>
  <si>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</si>
  <si>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</si>
  <si>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</si>
  <si>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</si>
  <si>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</si>
  <si>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</si>
  <si>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</si>
  <si>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</si>
  <si>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</si>
  <si>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</si>
  <si>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</si>
  <si>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</si>
  <si>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Georgia and the South Sandwich Islands</t>
  </si>
  <si>
    <t>GS</t>
  </si>
  <si>
    <t>SGS</t>
  </si>
  <si>
    <t>South Sudan</t>
  </si>
  <si>
    <t>SS</t>
  </si>
  <si>
    <t>SSD</t>
  </si>
  <si>
    <t>ES</t>
  </si>
  <si>
    <t>ESP</t>
  </si>
  <si>
    <t>Sri Lanka</t>
  </si>
  <si>
    <t>LK</t>
  </si>
  <si>
    <t>LKA</t>
  </si>
  <si>
    <t>SD</t>
  </si>
  <si>
    <t>SDN</t>
  </si>
  <si>
    <t>Suriname</t>
  </si>
  <si>
    <t>SR</t>
  </si>
  <si>
    <t>SUR</t>
  </si>
  <si>
    <t>Svalbard and Jan Mayen</t>
  </si>
  <si>
    <t>SJ</t>
  </si>
  <si>
    <t>SJM</t>
  </si>
  <si>
    <t>SE</t>
  </si>
  <si>
    <t>SWE</t>
  </si>
  <si>
    <t>CH</t>
  </si>
  <si>
    <t>CHE</t>
  </si>
  <si>
    <t>Syrian Arab Republic</t>
  </si>
  <si>
    <t>SY</t>
  </si>
  <si>
    <t>SYR</t>
  </si>
  <si>
    <t>Taiwan (Province of China)</t>
  </si>
  <si>
    <t>TW</t>
  </si>
  <si>
    <t>TWN</t>
  </si>
  <si>
    <t>Tajikistan</t>
  </si>
  <si>
    <t>TJ</t>
  </si>
  <si>
    <t>TJK</t>
  </si>
  <si>
    <t>Tanzania, United Republic of</t>
  </si>
  <si>
    <t>TZ</t>
  </si>
  <si>
    <t>TZA</t>
  </si>
  <si>
    <t>Thailand</t>
  </si>
  <si>
    <t>TH</t>
  </si>
  <si>
    <t>THA</t>
  </si>
  <si>
    <t>Timor-Leste</t>
  </si>
  <si>
    <t>TL</t>
  </si>
  <si>
    <t>TLS</t>
  </si>
  <si>
    <t>Togo</t>
  </si>
  <si>
    <t>TG</t>
  </si>
  <si>
    <t>TGO</t>
  </si>
  <si>
    <t>Tokelau</t>
  </si>
  <si>
    <t>TK</t>
  </si>
  <si>
    <t>TKL</t>
  </si>
  <si>
    <t>Tonga</t>
  </si>
  <si>
    <t>TON</t>
  </si>
  <si>
    <t>Trinidad and Tobago</t>
  </si>
  <si>
    <t>TT</t>
  </si>
  <si>
    <t>TTO</t>
  </si>
  <si>
    <t>Tunisia</t>
  </si>
  <si>
    <t>TN</t>
  </si>
  <si>
    <t>TUN</t>
  </si>
  <si>
    <t>Turkey</t>
  </si>
  <si>
    <t>TR</t>
  </si>
  <si>
    <t>TUR</t>
  </si>
  <si>
    <t>Turkmenistan</t>
  </si>
  <si>
    <t>TKM</t>
  </si>
  <si>
    <t>TC</t>
  </si>
  <si>
    <t>TCA</t>
  </si>
  <si>
    <t>Tuvalu</t>
  </si>
  <si>
    <t>TV</t>
  </si>
  <si>
    <t>TUV</t>
  </si>
  <si>
    <t>Uganda</t>
  </si>
  <si>
    <t>UG</t>
  </si>
  <si>
    <t>UGA</t>
  </si>
  <si>
    <t>UA</t>
  </si>
  <si>
    <t>UKR</t>
  </si>
  <si>
    <t>AE</t>
  </si>
  <si>
    <t>ARE</t>
  </si>
  <si>
    <t>GB</t>
  </si>
  <si>
    <t>GBR</t>
  </si>
  <si>
    <t>UM</t>
  </si>
  <si>
    <t>UMI</t>
  </si>
  <si>
    <t>US</t>
  </si>
  <si>
    <t>USA</t>
  </si>
  <si>
    <t>Uruguay</t>
  </si>
  <si>
    <t>UY</t>
  </si>
  <si>
    <t>URY</t>
  </si>
  <si>
    <t>Uzbekistan</t>
  </si>
  <si>
    <t>UZ</t>
  </si>
  <si>
    <t>UZB</t>
  </si>
  <si>
    <t>Vanuatu</t>
  </si>
  <si>
    <t>VU</t>
  </si>
  <si>
    <t>VUT</t>
  </si>
  <si>
    <t>Venezuela (Bolivarian Republic of)</t>
  </si>
  <si>
    <t>VE</t>
  </si>
  <si>
    <t>VEN</t>
  </si>
  <si>
    <t>VN</t>
  </si>
  <si>
    <t>VNM</t>
  </si>
  <si>
    <t>Virgin Islands (British)</t>
  </si>
  <si>
    <t>VG</t>
  </si>
  <si>
    <t>VGB</t>
  </si>
  <si>
    <t>Virgin Islands (U.S.)</t>
  </si>
  <si>
    <t>VI</t>
  </si>
  <si>
    <t>VIR</t>
  </si>
  <si>
    <t>Wallis and Futuna</t>
  </si>
  <si>
    <t>WF</t>
  </si>
  <si>
    <t>WLF</t>
  </si>
  <si>
    <t>Western Sahara</t>
  </si>
  <si>
    <t>EH</t>
  </si>
  <si>
    <t>ESH</t>
  </si>
  <si>
    <t>Yemen</t>
  </si>
  <si>
    <t>YE</t>
  </si>
  <si>
    <t>YEM</t>
  </si>
  <si>
    <t>Zambia</t>
  </si>
  <si>
    <t>ZM</t>
  </si>
  <si>
    <t>ZMB</t>
  </si>
  <si>
    <t>Zimbabwe</t>
  </si>
  <si>
    <t>ZW</t>
  </si>
  <si>
    <t>ZWE</t>
  </si>
  <si>
    <t>Åland Islands</t>
  </si>
  <si>
    <t>AX</t>
  </si>
  <si>
    <t>ALA</t>
  </si>
  <si>
    <t>Alpha-2</t>
  </si>
  <si>
    <t>Bahamas</t>
  </si>
  <si>
    <t>British Indian Ocean Territory</t>
  </si>
  <si>
    <t>Cayman Islands</t>
  </si>
  <si>
    <t>Central African Republic</t>
  </si>
  <si>
    <t>Cocos (Keeling) Islands</t>
  </si>
  <si>
    <t>Comoros</t>
  </si>
  <si>
    <t>Congo</t>
  </si>
  <si>
    <t>Cook Islands</t>
  </si>
  <si>
    <t>Dominican Republic</t>
  </si>
  <si>
    <t>Faroe Islands</t>
  </si>
  <si>
    <t>United States of America</t>
  </si>
  <si>
    <t>United States Minor Outlying Islands</t>
  </si>
  <si>
    <t>United Arab Emirates</t>
  </si>
  <si>
    <t>Turks and Caicos Islands</t>
  </si>
  <si>
    <t>Sudan</t>
  </si>
  <si>
    <t>Moldova</t>
  </si>
  <si>
    <t>Marshall Islands</t>
  </si>
  <si>
    <t>Niger</t>
  </si>
  <si>
    <t>Gambia</t>
  </si>
  <si>
    <t>Holy See</t>
  </si>
  <si>
    <t>Democratic People's Republic of Korea</t>
  </si>
  <si>
    <t>Korea</t>
  </si>
  <si>
    <t>Northern Mariana Islands</t>
  </si>
  <si>
    <t>Democratic Republic of the Congo</t>
  </si>
  <si>
    <t>Falkland Islands</t>
  </si>
  <si>
    <t>Northern Ireland</t>
  </si>
  <si>
    <t>Non Issue : The trigger IP was dropped in firewall action and requested to blocked on firewall DR and primary site.</t>
  </si>
  <si>
    <t>c</t>
  </si>
  <si>
    <t>All Detection are non issue and other true positive was alert-deny action and also requested for blocked on our end.</t>
  </si>
  <si>
    <t>cr401s0098p.palawanpawnshop.com</t>
  </si>
  <si>
    <t>cr401s0099p.palawanpawnshop.com</t>
  </si>
  <si>
    <t>RGB</t>
  </si>
  <si>
    <t>Balabat,Randy</t>
  </si>
  <si>
    <t>rgbalabat@palawanpawnshop.com</t>
  </si>
  <si>
    <t>Araceli P. Lim' &lt;aplim@palawanpawnshop.com&gt;; 'Aris D. Ocariza' &lt;adocariza@palawanpawnshop.com&gt;; 'Information Security Threat Intelligence and Response Section' &lt;isd-stir@palawanpawnshop.com&gt;;'Angelo Ace J. Berueda' &lt;aajberueda@palawanpawnshop.com&gt;; Raymond C. Mendoza (rcmendoza@palawanpawnshop.com);</t>
  </si>
  <si>
    <t>Araceli P. Lim' &lt;aplim@palawanpawnshop.com&gt;; 'Aris D. Ocariza' &lt;adocariza@palawanpawnshop.com&gt;; 'Information Security Threat Intelligence and Response Section' &lt;isd-stir@palawanpawnshop.com&gt;; Raymond C. Mendoza (rcmendoza@palawanpawnshop.com); 'Angelo Ace J. Berueda' &lt;aajberueda@palawanpawnshop.com&gt;; rncmacatulad@palawanpawnshop.com;</t>
  </si>
  <si>
    <t>dmtduenas@palawanpawnshop.com</t>
  </si>
  <si>
    <t>Duenas,Dan Mauie</t>
  </si>
  <si>
    <t>DMTD</t>
  </si>
  <si>
    <t>De Guzman,Ivan Jay</t>
  </si>
  <si>
    <t>Loreno,Claudius Caesar</t>
  </si>
  <si>
    <t>IJDD</t>
  </si>
  <si>
    <t>CCDL</t>
  </si>
  <si>
    <t>Araceli P. Lim' &lt;aplim@palawanpawnshop.com&gt;; 'Aris D. Ocariza' &lt;adocariza@palawanpawnshop.com&gt;; 'Information Security Threat Intelligence and Response Section' &lt;isd-stir@palawanpawnshop.com&gt;; aramarquez@palawanpawnshop.com;</t>
  </si>
  <si>
    <t>We have detected regarding failed attempts to authenticate to local account guest on asset(s) &lt;b&gt;zby-c8socw-2jm.palawanpawnshop.com&lt;/b&gt;&lt;br&gt;May we know what your activity on &lt;b&gt;21 February 2024&lt;/b&gt; between &lt;b&gt;04:50 PM to 05:30 AM&lt;/b&gt;  ?</t>
  </si>
  <si>
    <t>We have detected regarding user &lt;b&gt;etlprdsvc&lt;/b&gt; authenticated to makati-nas with administrator account &lt;b&gt;mcbacolor&lt;/b&gt; dated 21 February 2024 at 10:03 AM from asset . &lt;br&gt;May I verify if this action is legit ? And why it's happened ?</t>
  </si>
  <si>
    <t>Disposition</t>
  </si>
  <si>
    <t>cr301s0081p</t>
  </si>
  <si>
    <t>mr702s0282p</t>
  </si>
  <si>
    <t>Request By</t>
  </si>
  <si>
    <t>Marketing</t>
  </si>
  <si>
    <t>Corp Website Production Server - Image Whitelist Request</t>
  </si>
  <si>
    <t>Date Catered</t>
  </si>
  <si>
    <t>Catered by</t>
  </si>
  <si>
    <t>File/Image</t>
  </si>
  <si>
    <t>Golden-Summer-Sale.jpg</t>
  </si>
  <si>
    <t>JOMAR</t>
  </si>
  <si>
    <t>Purpose/Reason</t>
  </si>
  <si>
    <t>Promo Tab</t>
  </si>
  <si>
    <t>protekTODO page update</t>
  </si>
  <si>
    <t>Pamela Mae F. Cristobal</t>
  </si>
  <si>
    <t>Jarniel Cataluna</t>
  </si>
  <si>
    <t>palawanpay-logo-031424.png</t>
  </si>
  <si>
    <t>shopee-logo-031424.png</t>
  </si>
  <si>
    <t>lazada-logo-031424.png</t>
  </si>
  <si>
    <t>lazada-logo-031424-2.png</t>
  </si>
  <si>
    <t>palawanpay-logo-031424-2.png</t>
  </si>
  <si>
    <t>shopee-logo-031424-2.png</t>
  </si>
  <si>
    <t>Propelrr</t>
  </si>
  <si>
    <t>LESTER</t>
  </si>
  <si>
    <t>News Tab</t>
  </si>
  <si>
    <t>More-Power-Awards-Night-2.jpg</t>
  </si>
  <si>
    <t>OK</t>
  </si>
  <si>
    <t>10.202.20.13</t>
  </si>
  <si>
    <t>table-1.png</t>
  </si>
  <si>
    <t>Image Whitelist Request</t>
  </si>
  <si>
    <t>Emilio B. Bacaser</t>
  </si>
  <si>
    <t>CorpWeb promo</t>
  </si>
  <si>
    <t>ARAW-NG-KAGITINGAN-KV.png</t>
  </si>
  <si>
    <t>AlertLog - Subject Index</t>
  </si>
  <si>
    <t>AlertLog - Toggle Button</t>
  </si>
  <si>
    <t>AlertLog - Date Alert Minus</t>
  </si>
  <si>
    <t>Multiple Organization Authentications</t>
  </si>
  <si>
    <t>2024-04-22T13:25:06.734Z</t>
  </si>
  <si>
    <t>sudo passwd ansibleuser</t>
  </si>
  <si>
    <t>pawning-services-page-palawan-pay-asset-04232024-a.png</t>
  </si>
  <si>
    <t>pawning-services-page-palawan-pay-asset-04232024-a.webp</t>
  </si>
  <si>
    <t>updating of the pawning service page</t>
  </si>
  <si>
    <t>SANGLA-SUKI-RENEWAL-WEEK.png</t>
  </si>
  <si>
    <t>ON</t>
  </si>
  <si>
    <t>Good day Mr. Francia,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</si>
</sst>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mmmm\ dd\,\ yyyy\ hh:mm\ AM/PM"/>
    <numFmt numFmtId="166" formatCode="[$-3409]mmmm\ dd\,\ yyyy;@"/>
    <numFmt numFmtId="167" formatCode="[$-F400]h:mm:ss\ AM/PM"/>
    <numFmt numFmtId="168" formatCode="mmm\ dd\,\ yyyy\ hh:mm:ss\ AM/PM"/>
  </numFmts>
  <fonts count="33" x14ac:knownFonts="1">
    <font>
      <sz val="11"/>
      <color theme="1"/>
      <name val="Calibri"/>
      <family val="2"/>
      <scheme val="minor"/>
    </font>
    <font>
      <sz val="11"/>
      <color rgb="FFFF0000"/>
      <name val="Calibri"/>
      <family val="2"/>
      <scheme val="minor"/>
    </font>
    <font>
      <b/>
      <sz val="11"/>
      <color theme="1"/>
      <name val="Calibri"/>
      <family val="2"/>
      <scheme val="minor"/>
    </font>
    <font>
      <b/>
      <sz val="10"/>
      <color rgb="FFFF0000"/>
      <name val="Calibri"/>
      <family val="2"/>
      <scheme val="minor"/>
    </font>
    <font>
      <b/>
      <sz val="10"/>
      <color theme="1"/>
      <name val="Calibri"/>
      <family val="2"/>
      <scheme val="minor"/>
    </font>
    <font>
      <sz val="10"/>
      <color theme="1"/>
      <name val="Calibri"/>
      <family val="2"/>
      <scheme val="minor"/>
    </font>
    <font>
      <b/>
      <sz val="11"/>
      <color rgb="FF000000"/>
      <name val="Calibri"/>
      <family val="2"/>
      <scheme val="minor"/>
    </font>
    <font>
      <sz val="8"/>
      <color theme="1"/>
      <name val="Calibri"/>
      <family val="2"/>
      <scheme val="minor"/>
    </font>
    <font>
      <b/>
      <sz val="10"/>
      <name val="Calibri"/>
      <family val="2"/>
      <scheme val="minor"/>
    </font>
    <font>
      <b/>
      <sz val="11"/>
      <color rgb="FFFF0000"/>
      <name val="Calibri"/>
      <family val="2"/>
      <scheme val="minor"/>
    </font>
    <font>
      <b/>
      <sz val="11"/>
      <color rgb="FF002060"/>
      <name val="Calibri"/>
      <family val="2"/>
      <scheme val="minor"/>
    </font>
    <font>
      <b/>
      <sz val="11"/>
      <color theme="1"/>
      <name val="Times New Roman"/>
      <family val="1"/>
    </font>
    <font>
      <u/>
      <sz val="11"/>
      <color theme="10"/>
      <name val="Calibri"/>
      <family val="2"/>
      <scheme val="minor"/>
    </font>
    <font>
      <sz val="10.5"/>
      <color rgb="FF000000"/>
      <name val="Arial"/>
      <family val="2"/>
    </font>
    <font>
      <b/>
      <sz val="11"/>
      <color rgb="FFFFFF00"/>
      <name val="Calibri"/>
      <family val="2"/>
      <scheme val="minor"/>
    </font>
    <font>
      <b/>
      <sz val="11"/>
      <color theme="0" tint="-4.9989318521683403E-2"/>
      <name val="Calibri"/>
      <family val="2"/>
      <scheme val="minor"/>
    </font>
    <font>
      <b/>
      <sz val="8"/>
      <color theme="1"/>
      <name val="Calibri"/>
      <family val="2"/>
      <scheme val="minor"/>
    </font>
    <font>
      <sz val="11"/>
      <color rgb="FF444444"/>
      <name val="Calibri"/>
      <family val="2"/>
      <charset val="1"/>
      <scheme val="minor"/>
    </font>
    <font>
      <sz val="11"/>
      <color rgb="FF000000"/>
      <name val="Calibri"/>
      <family val="2"/>
      <scheme val="minor"/>
    </font>
    <font>
      <b/>
      <sz val="12"/>
      <color theme="1"/>
      <name val="Calibri"/>
      <family val="2"/>
      <scheme val="minor"/>
    </font>
    <font>
      <b/>
      <sz val="10"/>
      <color theme="1"/>
      <name val="Calibri"/>
      <family val="2"/>
    </font>
    <font>
      <b/>
      <sz val="10"/>
      <color rgb="FF4E4E4E"/>
      <name val="Calibri"/>
      <family val="2"/>
      <scheme val="minor"/>
    </font>
    <font>
      <sz val="10"/>
      <color rgb="FF4E4E4E"/>
      <name val="Roboto"/>
    </font>
    <font>
      <sz val="11"/>
      <name val="Calibri"/>
      <family val="2"/>
      <scheme val="minor"/>
    </font>
    <font>
      <b/>
      <sz val="11"/>
      <color rgb="FFFFFFFF"/>
      <name val="Calibri"/>
      <family val="2"/>
      <scheme val="minor"/>
    </font>
    <font>
      <b/>
      <sz val="11"/>
      <name val="Calibri"/>
      <family val="2"/>
      <scheme val="minor"/>
    </font>
    <font>
      <sz val="8"/>
      <name val="Calibri"/>
      <family val="2"/>
      <scheme val="minor"/>
    </font>
    <font>
      <sz val="10"/>
      <name val="Calibri"/>
      <family val="2"/>
      <scheme val="minor"/>
    </font>
    <font>
      <b/>
      <sz val="9"/>
      <color theme="1"/>
      <name val="Calibri"/>
      <family val="2"/>
      <scheme val="minor"/>
    </font>
    <font>
      <sz val="9"/>
      <color theme="1"/>
      <name val="Calibri"/>
      <family val="2"/>
      <scheme val="minor"/>
    </font>
    <font>
      <b/>
      <sz val="10"/>
      <color rgb="FF000000"/>
      <name val="Calibri"/>
      <family val="2"/>
      <scheme val="minor"/>
    </font>
    <font>
      <b/>
      <sz val="11"/>
      <color rgb="FFFFC000"/>
      <name val="Calibri"/>
      <family val="2"/>
      <scheme val="minor"/>
    </font>
    <font>
      <sz val="9"/>
      <name val="Calibri"/>
      <family val="2"/>
      <scheme val="minor"/>
    </font>
  </fonts>
  <fills count="21">
    <fill>
      <patternFill patternType="none"/>
    </fill>
    <fill>
      <patternFill patternType="gray125"/>
    </fill>
    <fill>
      <patternFill patternType="solid">
        <fgColor rgb="FF92D050"/>
        <bgColor indexed="64"/>
      </patternFill>
    </fill>
    <fill>
      <patternFill patternType="solid">
        <fgColor theme="5" tint="0.79998168889431442"/>
        <bgColor indexed="64"/>
      </patternFill>
    </fill>
    <fill>
      <patternFill patternType="solid">
        <fgColor theme="8"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rgb="FF000000"/>
      </patternFill>
    </fill>
    <fill>
      <patternFill patternType="solid">
        <fgColor rgb="FF90C226"/>
        <bgColor indexed="64"/>
      </patternFill>
    </fill>
    <fill>
      <patternFill patternType="solid">
        <fgColor rgb="FFFFFFFF"/>
        <bgColor indexed="64"/>
      </patternFill>
    </fill>
    <fill>
      <patternFill patternType="solid">
        <fgColor rgb="FF305496"/>
        <bgColor rgb="FF000000"/>
      </patternFill>
    </fill>
    <fill>
      <patternFill patternType="solid">
        <fgColor theme="8" tint="0.79998168889431442"/>
        <bgColor indexed="64"/>
      </patternFill>
    </fill>
    <fill>
      <patternFill patternType="solid">
        <fgColor rgb="FF00B050"/>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rgb="FF00B0F0"/>
        <bgColor rgb="FF000000"/>
      </patternFill>
    </fill>
  </fills>
  <borders count="40">
    <border>
      <left/>
      <right/>
      <top/>
      <bottom/>
      <diagonal/>
    </border>
    <border>
      <left style="thin">
        <color theme="9"/>
      </left>
      <right/>
      <top style="thin">
        <color theme="9"/>
      </top>
      <bottom/>
      <diagonal/>
    </border>
    <border>
      <left style="thin">
        <color theme="9"/>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70C0"/>
      </left>
      <right style="medium">
        <color rgb="FF0070C0"/>
      </right>
      <top style="medium">
        <color rgb="FF0070C0"/>
      </top>
      <bottom style="medium">
        <color rgb="FF0070C0"/>
      </bottom>
      <diagonal/>
    </border>
    <border>
      <left style="medium">
        <color rgb="FF0070C0"/>
      </left>
      <right style="medium">
        <color rgb="FF0070C0"/>
      </right>
      <top style="medium">
        <color rgb="FF0070C0"/>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s>
  <cellStyleXfs count="2">
    <xf numFmtId="0" fontId="0" fillId="0" borderId="0"/>
    <xf numFmtId="0" fontId="12" fillId="0" borderId="0" applyNumberFormat="0" applyFill="0" applyBorder="0" applyAlignment="0" applyProtection="0"/>
  </cellStyleXfs>
  <cellXfs count="296">
    <xf numFmtId="0" fontId="0" fillId="0" borderId="0" xfId="0"/>
    <xf numFmtId="0" fontId="5" fillId="0" borderId="0" xfId="0" applyFont="1" applyAlignment="1">
      <alignment horizontal="left"/>
    </xf>
    <xf numFmtId="0" fontId="0" fillId="0" borderId="1" xfId="0" applyBorder="1" applyAlignment="1">
      <alignment horizontal="left"/>
    </xf>
    <xf numFmtId="0" fontId="0" fillId="0" borderId="2" xfId="0" applyBorder="1" applyAlignment="1">
      <alignment horizontal="left"/>
    </xf>
    <xf numFmtId="0" fontId="0" fillId="3" borderId="7" xfId="0" applyFill="1" applyBorder="1"/>
    <xf numFmtId="0" fontId="0" fillId="3" borderId="8" xfId="0" applyFill="1" applyBorder="1"/>
    <xf numFmtId="0" fontId="0" fillId="2" borderId="7" xfId="0" applyFill="1" applyBorder="1"/>
    <xf numFmtId="0" fontId="0" fillId="2" borderId="9" xfId="0" applyFill="1" applyBorder="1"/>
    <xf numFmtId="0" fontId="0" fillId="2" borderId="8" xfId="0" applyFill="1" applyBorder="1"/>
    <xf numFmtId="0" fontId="0" fillId="3" borderId="10" xfId="0" applyFill="1" applyBorder="1"/>
    <xf numFmtId="0" fontId="0" fillId="3" borderId="11" xfId="0" applyFill="1" applyBorder="1"/>
    <xf numFmtId="0" fontId="0" fillId="2" borderId="10" xfId="0" applyFill="1" applyBorder="1"/>
    <xf numFmtId="0" fontId="0" fillId="2" borderId="0" xfId="0" applyFill="1"/>
    <xf numFmtId="0" fontId="0" fillId="2" borderId="11" xfId="0" applyFill="1" applyBorder="1"/>
    <xf numFmtId="0" fontId="2" fillId="2" borderId="12" xfId="0" applyFont="1" applyFill="1" applyBorder="1"/>
    <xf numFmtId="0" fontId="2" fillId="2" borderId="5" xfId="0" applyFont="1" applyFill="1" applyBorder="1"/>
    <xf numFmtId="0" fontId="2" fillId="2" borderId="13" xfId="0" applyFont="1" applyFill="1" applyBorder="1"/>
    <xf numFmtId="0" fontId="0" fillId="3" borderId="14" xfId="0" applyFill="1" applyBorder="1"/>
    <xf numFmtId="0" fontId="0" fillId="3" borderId="15" xfId="0" applyFill="1" applyBorder="1"/>
    <xf numFmtId="0" fontId="0" fillId="0" borderId="7" xfId="0" applyBorder="1"/>
    <xf numFmtId="0" fontId="0" fillId="0" borderId="9" xfId="0" applyBorder="1"/>
    <xf numFmtId="0" fontId="0" fillId="0" borderId="8" xfId="0" applyBorder="1"/>
    <xf numFmtId="0" fontId="0" fillId="0" borderId="10" xfId="0" applyBorder="1"/>
    <xf numFmtId="0" fontId="0" fillId="0" borderId="11" xfId="0" applyBorder="1"/>
    <xf numFmtId="0" fontId="2" fillId="0" borderId="12" xfId="0" applyFont="1" applyBorder="1"/>
    <xf numFmtId="0" fontId="2" fillId="0" borderId="5" xfId="0" applyFont="1" applyBorder="1"/>
    <xf numFmtId="0" fontId="2" fillId="0" borderId="13" xfId="0" applyFont="1" applyBorder="1"/>
    <xf numFmtId="165" fontId="7" fillId="0" borderId="12" xfId="0" applyNumberFormat="1" applyFont="1" applyBorder="1" applyAlignment="1">
      <alignment horizontal="left"/>
    </xf>
    <xf numFmtId="0" fontId="7" fillId="0" borderId="5" xfId="0" applyFont="1" applyBorder="1"/>
    <xf numFmtId="0" fontId="0" fillId="2" borderId="14" xfId="0" applyFill="1" applyBorder="1"/>
    <xf numFmtId="0" fontId="0" fillId="2" borderId="16" xfId="0" applyFill="1" applyBorder="1"/>
    <xf numFmtId="0" fontId="0" fillId="2" borderId="15" xfId="0" applyFill="1" applyBorder="1"/>
    <xf numFmtId="0" fontId="0" fillId="0" borderId="14" xfId="0" applyBorder="1"/>
    <xf numFmtId="0" fontId="0" fillId="0" borderId="16" xfId="0" applyBorder="1"/>
    <xf numFmtId="0" fontId="0" fillId="0" borderId="15" xfId="0" applyBorder="1"/>
    <xf numFmtId="0" fontId="0" fillId="4" borderId="0" xfId="0" applyFill="1"/>
    <xf numFmtId="14" fontId="8" fillId="2" borderId="5" xfId="0" applyNumberFormat="1"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3" borderId="5" xfId="0" applyFont="1" applyFill="1" applyBorder="1" applyAlignment="1">
      <alignment horizontal="center" vertical="center"/>
    </xf>
    <xf numFmtId="14" fontId="8" fillId="2" borderId="5" xfId="0" applyNumberFormat="1" applyFont="1" applyFill="1" applyBorder="1" applyAlignment="1">
      <alignment horizontal="center" vertical="center"/>
    </xf>
    <xf numFmtId="49" fontId="4" fillId="4" borderId="0" xfId="0" applyNumberFormat="1" applyFont="1" applyFill="1" applyAlignment="1">
      <alignment horizontal="center" vertical="center"/>
    </xf>
    <xf numFmtId="49" fontId="4" fillId="4" borderId="0" xfId="0" applyNumberFormat="1" applyFont="1" applyFill="1"/>
    <xf numFmtId="0" fontId="4" fillId="4" borderId="0" xfId="0" applyFont="1" applyFill="1"/>
    <xf numFmtId="0" fontId="0" fillId="0" borderId="5" xfId="0" applyBorder="1"/>
    <xf numFmtId="0" fontId="0" fillId="0" borderId="0" xfId="0" applyAlignment="1">
      <alignment horizontal="center"/>
    </xf>
    <xf numFmtId="164" fontId="0" fillId="0" borderId="0" xfId="0" applyNumberFormat="1"/>
    <xf numFmtId="0" fontId="10" fillId="5" borderId="5" xfId="0" applyFont="1" applyFill="1" applyBorder="1" applyAlignment="1">
      <alignment horizontal="center"/>
    </xf>
    <xf numFmtId="164" fontId="10" fillId="5" borderId="0" xfId="0" applyNumberFormat="1" applyFont="1" applyFill="1" applyAlignment="1">
      <alignment horizontal="center"/>
    </xf>
    <xf numFmtId="0" fontId="2" fillId="6" borderId="0" xfId="0" applyFont="1" applyFill="1" applyAlignment="1">
      <alignment horizontal="center"/>
    </xf>
    <xf numFmtId="164" fontId="2" fillId="6" borderId="0" xfId="0" applyNumberFormat="1" applyFont="1" applyFill="1" applyAlignment="1">
      <alignment horizontal="center"/>
    </xf>
    <xf numFmtId="0" fontId="1" fillId="5" borderId="5" xfId="0" applyFont="1" applyFill="1" applyBorder="1" applyAlignment="1">
      <alignment horizontal="center" vertical="center"/>
    </xf>
    <xf numFmtId="164" fontId="1" fillId="5" borderId="0" xfId="0" applyNumberFormat="1" applyFont="1" applyFill="1" applyAlignment="1">
      <alignment horizontal="center" vertical="center"/>
    </xf>
    <xf numFmtId="164" fontId="1" fillId="5" borderId="0" xfId="0" applyNumberFormat="1" applyFont="1" applyFill="1"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0" fontId="9" fillId="5" borderId="5" xfId="0" applyFont="1" applyFill="1" applyBorder="1" applyAlignment="1">
      <alignment horizontal="center"/>
    </xf>
    <xf numFmtId="164" fontId="9" fillId="5" borderId="0" xfId="0" applyNumberFormat="1" applyFont="1" applyFill="1" applyAlignment="1">
      <alignment horizontal="center"/>
    </xf>
    <xf numFmtId="164" fontId="2" fillId="0" borderId="0" xfId="0" applyNumberFormat="1" applyFont="1" applyAlignment="1">
      <alignment horizontal="center"/>
    </xf>
    <xf numFmtId="0" fontId="5" fillId="0" borderId="0" xfId="0" applyFont="1"/>
    <xf numFmtId="0" fontId="3" fillId="2" borderId="0" xfId="0" applyFont="1" applyFill="1" applyAlignment="1">
      <alignment horizontal="left" vertical="center"/>
    </xf>
    <xf numFmtId="0" fontId="4" fillId="2" borderId="0" xfId="0" applyFont="1" applyFill="1" applyAlignment="1">
      <alignment horizontal="left" vertical="center"/>
    </xf>
    <xf numFmtId="0" fontId="5" fillId="0" borderId="0" xfId="0" applyFont="1" applyAlignment="1">
      <alignment horizontal="left" vertical="center"/>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 fillId="0" borderId="0" xfId="0" applyFont="1" applyAlignment="1">
      <alignment horizontal="center" vertical="center"/>
    </xf>
    <xf numFmtId="14" fontId="3" fillId="2" borderId="0" xfId="0" applyNumberFormat="1" applyFont="1" applyFill="1" applyAlignment="1">
      <alignment horizontal="center" vertical="center"/>
    </xf>
    <xf numFmtId="0" fontId="5" fillId="0" borderId="0" xfId="0" applyFont="1" applyAlignment="1">
      <alignment horizontal="center" vertical="center" wrapText="1"/>
    </xf>
    <xf numFmtId="0" fontId="4" fillId="3" borderId="0" xfId="0" applyFont="1" applyFill="1" applyAlignment="1">
      <alignment horizontal="left" vertical="center"/>
    </xf>
    <xf numFmtId="167" fontId="4" fillId="3" borderId="0" xfId="0" applyNumberFormat="1" applyFont="1" applyFill="1" applyAlignment="1">
      <alignment horizontal="left" vertical="center"/>
    </xf>
    <xf numFmtId="166" fontId="4" fillId="3" borderId="0" xfId="0" applyNumberFormat="1" applyFont="1" applyFill="1" applyAlignment="1">
      <alignment horizontal="left" vertical="center"/>
    </xf>
    <xf numFmtId="14" fontId="4" fillId="3" borderId="0" xfId="0" applyNumberFormat="1" applyFont="1" applyFill="1" applyAlignment="1">
      <alignment horizontal="left" vertical="center"/>
    </xf>
    <xf numFmtId="167" fontId="5" fillId="0" borderId="0" xfId="0" applyNumberFormat="1" applyFont="1" applyAlignment="1">
      <alignment horizontal="left" vertical="center"/>
    </xf>
    <xf numFmtId="166" fontId="5" fillId="0" borderId="0" xfId="0" applyNumberFormat="1" applyFont="1" applyAlignment="1">
      <alignment horizontal="left" vertical="center"/>
    </xf>
    <xf numFmtId="0" fontId="5" fillId="0" borderId="0" xfId="0" applyFont="1" applyAlignment="1">
      <alignment horizontal="left" vertical="center" wrapText="1"/>
    </xf>
    <xf numFmtId="168" fontId="8" fillId="3" borderId="5" xfId="0" applyNumberFormat="1" applyFont="1" applyFill="1" applyBorder="1" applyAlignment="1">
      <alignment horizontal="center" vertical="center"/>
    </xf>
    <xf numFmtId="49" fontId="4" fillId="4" borderId="0" xfId="0" applyNumberFormat="1" applyFont="1" applyFill="1" applyAlignment="1">
      <alignment horizontal="center"/>
    </xf>
    <xf numFmtId="0" fontId="4" fillId="4" borderId="0" xfId="0" applyFont="1" applyFill="1" applyAlignment="1">
      <alignment horizontal="center" vertical="center" wrapText="1"/>
    </xf>
    <xf numFmtId="0" fontId="0" fillId="0" borderId="0" xfId="0" applyAlignment="1">
      <alignment horizontal="center" vertical="center"/>
    </xf>
    <xf numFmtId="164" fontId="2" fillId="4" borderId="10" xfId="0" applyNumberFormat="1"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164" fontId="2" fillId="4" borderId="0" xfId="0" applyNumberFormat="1" applyFont="1" applyFill="1" applyAlignment="1">
      <alignment horizontal="center" vertical="center" wrapText="1"/>
    </xf>
    <xf numFmtId="0" fontId="2" fillId="4" borderId="11" xfId="0" applyFont="1" applyFill="1" applyBorder="1"/>
    <xf numFmtId="164" fontId="0" fillId="0" borderId="10" xfId="0" applyNumberFormat="1" applyBorder="1" applyAlignment="1">
      <alignment horizontal="right" vertical="center"/>
    </xf>
    <xf numFmtId="164" fontId="0" fillId="0" borderId="0" xfId="0" applyNumberFormat="1" applyAlignment="1">
      <alignment horizontal="right" vertical="center"/>
    </xf>
    <xf numFmtId="164" fontId="0" fillId="7" borderId="14" xfId="0" applyNumberFormat="1" applyFill="1" applyBorder="1" applyAlignment="1">
      <alignment horizontal="right" vertical="center"/>
    </xf>
    <xf numFmtId="164" fontId="0" fillId="7" borderId="15" xfId="0" applyNumberFormat="1" applyFill="1" applyBorder="1" applyAlignment="1">
      <alignment horizontal="right" vertical="center"/>
    </xf>
    <xf numFmtId="164" fontId="0" fillId="7" borderId="16" xfId="0" applyNumberFormat="1" applyFill="1" applyBorder="1" applyAlignment="1">
      <alignment horizontal="right" vertical="center"/>
    </xf>
    <xf numFmtId="0" fontId="0" fillId="0" borderId="5" xfId="0" applyBorder="1" applyAlignment="1">
      <alignment horizontal="center" vertical="center"/>
    </xf>
    <xf numFmtId="0" fontId="0" fillId="0" borderId="5" xfId="0" applyBorder="1" applyAlignment="1">
      <alignment horizontal="center" vertical="center" wrapText="1"/>
    </xf>
    <xf numFmtId="0" fontId="4" fillId="4" borderId="0" xfId="0" applyFont="1" applyFill="1" applyAlignment="1">
      <alignment horizontal="center" vertical="center"/>
    </xf>
    <xf numFmtId="0" fontId="11" fillId="2" borderId="5" xfId="0" applyFont="1" applyFill="1" applyBorder="1" applyAlignment="1">
      <alignment horizontal="center" vertical="center" wrapText="1"/>
    </xf>
    <xf numFmtId="0" fontId="0" fillId="6" borderId="21" xfId="0" applyFill="1" applyBorder="1"/>
    <xf numFmtId="0" fontId="0" fillId="6" borderId="22" xfId="0" applyFill="1" applyBorder="1"/>
    <xf numFmtId="0" fontId="0" fillId="6" borderId="23" xfId="0" applyFill="1" applyBorder="1"/>
    <xf numFmtId="0" fontId="0" fillId="8" borderId="0" xfId="0" applyFill="1"/>
    <xf numFmtId="0" fontId="13" fillId="8" borderId="0" xfId="0" applyFont="1" applyFill="1"/>
    <xf numFmtId="0" fontId="13" fillId="8" borderId="0" xfId="0" applyFont="1" applyFill="1" applyAlignment="1">
      <alignment vertical="center"/>
    </xf>
    <xf numFmtId="0" fontId="0" fillId="8" borderId="0" xfId="0" applyFill="1" applyAlignment="1">
      <alignment vertical="center"/>
    </xf>
    <xf numFmtId="0" fontId="4" fillId="3" borderId="5" xfId="0" applyFont="1" applyFill="1" applyBorder="1" applyAlignment="1">
      <alignment horizontal="left" vertical="top"/>
    </xf>
    <xf numFmtId="167" fontId="4" fillId="3" borderId="5" xfId="0" applyNumberFormat="1" applyFont="1" applyFill="1" applyBorder="1" applyAlignment="1">
      <alignment horizontal="left" vertical="top"/>
    </xf>
    <xf numFmtId="166" fontId="4" fillId="3" borderId="5" xfId="0" applyNumberFormat="1" applyFont="1" applyFill="1" applyBorder="1" applyAlignment="1">
      <alignment horizontal="left" vertical="top"/>
    </xf>
    <xf numFmtId="0" fontId="2" fillId="4" borderId="10" xfId="0" applyFont="1" applyFill="1" applyBorder="1"/>
    <xf numFmtId="164" fontId="0" fillId="0" borderId="10" xfId="0" applyNumberFormat="1" applyBorder="1" applyAlignment="1">
      <alignment horizontal="right"/>
    </xf>
    <xf numFmtId="164" fontId="16" fillId="6" borderId="0" xfId="0" applyNumberFormat="1" applyFont="1" applyFill="1" applyAlignment="1">
      <alignment horizontal="center"/>
    </xf>
    <xf numFmtId="0" fontId="5" fillId="0" borderId="5" xfId="0" applyFont="1" applyBorder="1" applyAlignment="1">
      <alignment horizontal="left" vertical="center"/>
    </xf>
    <xf numFmtId="167" fontId="5" fillId="0" borderId="5" xfId="0" applyNumberFormat="1" applyFont="1" applyBorder="1" applyAlignment="1">
      <alignment horizontal="left" vertical="center"/>
    </xf>
    <xf numFmtId="166" fontId="5" fillId="0" borderId="5" xfId="0" applyNumberFormat="1" applyFont="1" applyBorder="1" applyAlignment="1">
      <alignment horizontal="left" vertical="center"/>
    </xf>
    <xf numFmtId="168" fontId="11" fillId="2" borderId="5" xfId="0" applyNumberFormat="1" applyFont="1" applyFill="1" applyBorder="1" applyAlignment="1">
      <alignment horizontal="center" vertical="center" wrapText="1"/>
    </xf>
    <xf numFmtId="168" fontId="0" fillId="0" borderId="0" xfId="0" applyNumberFormat="1"/>
    <xf numFmtId="168" fontId="0" fillId="0" borderId="5" xfId="0" applyNumberFormat="1" applyBorder="1"/>
    <xf numFmtId="0" fontId="0" fillId="9" borderId="7" xfId="0" applyFill="1" applyBorder="1"/>
    <xf numFmtId="0" fontId="0" fillId="9" borderId="9" xfId="0" applyFill="1" applyBorder="1"/>
    <xf numFmtId="0" fontId="0" fillId="9" borderId="8" xfId="0" applyFill="1" applyBorder="1"/>
    <xf numFmtId="0" fontId="0" fillId="9" borderId="10" xfId="0" applyFill="1" applyBorder="1"/>
    <xf numFmtId="0" fontId="0" fillId="9" borderId="11" xfId="0" applyFill="1" applyBorder="1"/>
    <xf numFmtId="0" fontId="2" fillId="9" borderId="12" xfId="0" applyFont="1" applyFill="1" applyBorder="1"/>
    <xf numFmtId="0" fontId="2" fillId="9" borderId="5" xfId="0" applyFont="1" applyFill="1" applyBorder="1"/>
    <xf numFmtId="0" fontId="2" fillId="9" borderId="13" xfId="0" applyFont="1" applyFill="1" applyBorder="1"/>
    <xf numFmtId="0" fontId="0" fillId="9" borderId="14" xfId="0" applyFill="1" applyBorder="1"/>
    <xf numFmtId="0" fontId="0" fillId="9" borderId="16" xfId="0" applyFill="1" applyBorder="1"/>
    <xf numFmtId="0" fontId="0" fillId="9" borderId="15" xfId="0" applyFill="1" applyBorder="1"/>
    <xf numFmtId="0" fontId="0" fillId="9" borderId="0" xfId="0" applyFill="1"/>
    <xf numFmtId="168" fontId="0" fillId="0" borderId="0" xfId="0" applyNumberFormat="1" applyAlignment="1">
      <alignment horizontal="center" vertical="center"/>
    </xf>
    <xf numFmtId="0" fontId="6" fillId="10" borderId="24" xfId="0" applyFont="1" applyFill="1" applyBorder="1"/>
    <xf numFmtId="0" fontId="12" fillId="0" borderId="24" xfId="1" applyBorder="1"/>
    <xf numFmtId="0" fontId="17" fillId="0" borderId="24" xfId="0" applyFont="1" applyBorder="1"/>
    <xf numFmtId="0" fontId="18" fillId="0" borderId="24" xfId="0" applyFont="1" applyBorder="1"/>
    <xf numFmtId="165" fontId="7" fillId="0" borderId="12" xfId="0" applyNumberFormat="1" applyFont="1" applyBorder="1" applyAlignment="1">
      <alignment horizontal="left" wrapText="1"/>
    </xf>
    <xf numFmtId="165" fontId="7" fillId="0" borderId="5" xfId="0" applyNumberFormat="1" applyFont="1" applyBorder="1" applyAlignment="1">
      <alignment horizontal="left" wrapText="1"/>
    </xf>
    <xf numFmtId="0" fontId="7" fillId="0" borderId="13" xfId="0" applyFont="1" applyBorder="1"/>
    <xf numFmtId="0" fontId="7" fillId="0" borderId="12" xfId="0" applyFont="1" applyBorder="1"/>
    <xf numFmtId="164" fontId="1" fillId="0" borderId="11" xfId="0" applyNumberFormat="1" applyFont="1" applyBorder="1" applyAlignment="1">
      <alignment horizontal="right" vertical="center"/>
    </xf>
    <xf numFmtId="164" fontId="1" fillId="0" borderId="0" xfId="0" applyNumberFormat="1" applyFont="1" applyAlignment="1">
      <alignment horizontal="right" vertical="center"/>
    </xf>
    <xf numFmtId="164" fontId="1" fillId="0" borderId="11" xfId="0" applyNumberFormat="1" applyFont="1" applyBorder="1" applyAlignment="1">
      <alignment horizontal="right"/>
    </xf>
    <xf numFmtId="164" fontId="9" fillId="7" borderId="15" xfId="0" applyNumberFormat="1" applyFont="1" applyFill="1" applyBorder="1" applyAlignment="1">
      <alignment horizontal="right" vertical="center"/>
    </xf>
    <xf numFmtId="164" fontId="9" fillId="7" borderId="16" xfId="0" applyNumberFormat="1" applyFont="1" applyFill="1" applyBorder="1" applyAlignment="1">
      <alignment horizontal="right" vertical="center"/>
    </xf>
    <xf numFmtId="0" fontId="0" fillId="6" borderId="0" xfId="0" applyFill="1"/>
    <xf numFmtId="0" fontId="2" fillId="6" borderId="0" xfId="0" applyFont="1" applyFill="1"/>
    <xf numFmtId="168" fontId="7" fillId="0" borderId="12" xfId="0" applyNumberFormat="1" applyFont="1" applyBorder="1" applyAlignment="1">
      <alignment horizontal="left"/>
    </xf>
    <xf numFmtId="0" fontId="1" fillId="0" borderId="0" xfId="0" applyFont="1"/>
    <xf numFmtId="0" fontId="0" fillId="5" borderId="0" xfId="0" applyFill="1"/>
    <xf numFmtId="0" fontId="0" fillId="5" borderId="0" xfId="0" quotePrefix="1" applyFill="1"/>
    <xf numFmtId="22" fontId="7" fillId="0" borderId="5" xfId="0" applyNumberFormat="1" applyFont="1" applyBorder="1"/>
    <xf numFmtId="0" fontId="0" fillId="0" borderId="0" xfId="0" quotePrefix="1"/>
    <xf numFmtId="0" fontId="5" fillId="0" borderId="3" xfId="0" applyFont="1" applyBorder="1" applyAlignment="1">
      <alignment horizontal="center" vertical="center"/>
    </xf>
    <xf numFmtId="0" fontId="0" fillId="0" borderId="6" xfId="0" applyBorder="1" applyAlignment="1">
      <alignment horizontal="center" vertical="center"/>
    </xf>
    <xf numFmtId="0" fontId="4" fillId="2" borderId="27" xfId="0" applyFont="1" applyFill="1" applyBorder="1" applyAlignment="1">
      <alignment horizontal="left" vertical="center"/>
    </xf>
    <xf numFmtId="0" fontId="20" fillId="11" borderId="28" xfId="0" applyFont="1" applyFill="1" applyBorder="1" applyAlignment="1">
      <alignment horizontal="center" vertical="center" wrapText="1"/>
    </xf>
    <xf numFmtId="0" fontId="4" fillId="2" borderId="29" xfId="0" applyFont="1" applyFill="1" applyBorder="1" applyAlignment="1">
      <alignment horizontal="left" vertical="center"/>
    </xf>
    <xf numFmtId="0" fontId="4" fillId="0" borderId="30" xfId="0" applyFont="1" applyBorder="1" applyAlignment="1">
      <alignment horizontal="left" vertical="center" wrapText="1"/>
    </xf>
    <xf numFmtId="0" fontId="5" fillId="0" borderId="31" xfId="0" applyFont="1" applyBorder="1" applyAlignment="1">
      <alignment horizontal="left" vertical="center" wrapText="1"/>
    </xf>
    <xf numFmtId="0" fontId="4" fillId="0" borderId="12" xfId="0" applyFont="1" applyBorder="1" applyAlignment="1">
      <alignment horizontal="left" vertical="center" wrapText="1"/>
    </xf>
    <xf numFmtId="0" fontId="21" fillId="0" borderId="12" xfId="0" applyFont="1" applyBorder="1" applyAlignment="1">
      <alignment horizontal="left" vertical="center" wrapText="1"/>
    </xf>
    <xf numFmtId="0" fontId="21" fillId="12" borderId="12" xfId="0" applyFont="1" applyFill="1" applyBorder="1" applyAlignment="1">
      <alignment horizontal="left" vertical="center" wrapText="1"/>
    </xf>
    <xf numFmtId="0" fontId="21" fillId="6" borderId="32" xfId="0" applyFont="1" applyFill="1" applyBorder="1" applyAlignment="1">
      <alignment horizontal="left" vertical="center" wrapText="1"/>
    </xf>
    <xf numFmtId="0" fontId="4" fillId="6" borderId="33" xfId="0" applyFont="1" applyFill="1" applyBorder="1" applyAlignment="1">
      <alignment horizontal="center" vertical="center"/>
    </xf>
    <xf numFmtId="0" fontId="5" fillId="6" borderId="34" xfId="0" applyFont="1" applyFill="1" applyBorder="1" applyAlignment="1">
      <alignment horizontal="left" vertical="center"/>
    </xf>
    <xf numFmtId="0" fontId="4" fillId="0" borderId="0" xfId="0" applyFont="1" applyAlignment="1">
      <alignment horizontal="left" vertical="center"/>
    </xf>
    <xf numFmtId="0" fontId="21" fillId="12" borderId="0" xfId="0" applyFont="1" applyFill="1" applyAlignment="1">
      <alignment vertical="center" wrapText="1"/>
    </xf>
    <xf numFmtId="0" fontId="4" fillId="0" borderId="21" xfId="0" applyFont="1" applyBorder="1" applyAlignment="1">
      <alignment horizontal="left" vertical="center"/>
    </xf>
    <xf numFmtId="0" fontId="4" fillId="0" borderId="7" xfId="0" applyFont="1" applyBorder="1" applyAlignment="1">
      <alignment horizontal="left" vertical="center"/>
    </xf>
    <xf numFmtId="0" fontId="4" fillId="0" borderId="21" xfId="0" applyFont="1" applyBorder="1" applyAlignment="1">
      <alignment horizontal="center" vertical="center"/>
    </xf>
    <xf numFmtId="0" fontId="4" fillId="0" borderId="8" xfId="0" applyFont="1" applyBorder="1" applyAlignment="1">
      <alignment horizontal="left" vertical="center"/>
    </xf>
    <xf numFmtId="0" fontId="22" fillId="0" borderId="5" xfId="0" applyFont="1" applyBorder="1" applyAlignment="1">
      <alignment horizontal="left" vertical="center" wrapText="1"/>
    </xf>
    <xf numFmtId="0" fontId="22" fillId="0" borderId="5" xfId="0" applyFont="1" applyBorder="1" applyAlignment="1">
      <alignment horizontal="center" vertical="center" wrapText="1"/>
    </xf>
    <xf numFmtId="0" fontId="22" fillId="0" borderId="5" xfId="0" applyFont="1" applyBorder="1" applyAlignment="1">
      <alignment horizontal="center" vertical="center"/>
    </xf>
    <xf numFmtId="0" fontId="22" fillId="0" borderId="5" xfId="0" applyFont="1" applyBorder="1" applyAlignment="1">
      <alignment horizontal="left" vertical="center"/>
    </xf>
    <xf numFmtId="19" fontId="22" fillId="0" borderId="5" xfId="0" applyNumberFormat="1" applyFont="1" applyBorder="1" applyAlignment="1">
      <alignment horizontal="center" vertical="center"/>
    </xf>
    <xf numFmtId="164" fontId="1" fillId="0" borderId="0" xfId="0" applyNumberFormat="1" applyFont="1" applyAlignment="1">
      <alignment horizontal="right"/>
    </xf>
    <xf numFmtId="14" fontId="8" fillId="3" borderId="5" xfId="0" applyNumberFormat="1" applyFont="1" applyFill="1" applyBorder="1" applyAlignment="1">
      <alignment horizontal="center" vertical="center" wrapText="1"/>
    </xf>
    <xf numFmtId="164" fontId="23" fillId="0" borderId="0" xfId="0" applyNumberFormat="1" applyFont="1" applyAlignment="1">
      <alignment horizontal="right"/>
    </xf>
    <xf numFmtId="164" fontId="23" fillId="0" borderId="10" xfId="0" applyNumberFormat="1" applyFont="1" applyBorder="1" applyAlignment="1">
      <alignment horizontal="right" vertical="center"/>
    </xf>
    <xf numFmtId="0" fontId="24" fillId="13" borderId="35" xfId="0" applyFont="1" applyFill="1" applyBorder="1" applyAlignment="1">
      <alignment horizontal="center"/>
    </xf>
    <xf numFmtId="49" fontId="24" fillId="13" borderId="36" xfId="0" applyNumberFormat="1" applyFont="1" applyFill="1" applyBorder="1" applyAlignment="1">
      <alignment horizontal="center" wrapText="1"/>
    </xf>
    <xf numFmtId="49" fontId="0" fillId="0" borderId="0" xfId="0" applyNumberFormat="1"/>
    <xf numFmtId="0" fontId="0" fillId="14" borderId="7" xfId="0" applyFill="1" applyBorder="1"/>
    <xf numFmtId="0" fontId="0" fillId="14" borderId="8" xfId="0" applyFill="1" applyBorder="1"/>
    <xf numFmtId="0" fontId="0" fillId="14" borderId="10" xfId="0" applyFill="1" applyBorder="1"/>
    <xf numFmtId="0" fontId="0" fillId="14" borderId="11" xfId="0" applyFill="1" applyBorder="1"/>
    <xf numFmtId="0" fontId="0" fillId="14" borderId="14" xfId="0" applyFill="1" applyBorder="1"/>
    <xf numFmtId="0" fontId="0" fillId="14" borderId="15" xfId="0" applyFill="1" applyBorder="1"/>
    <xf numFmtId="0" fontId="0" fillId="6" borderId="0" xfId="0" applyFill="1" applyAlignment="1">
      <alignment vertical="center"/>
    </xf>
    <xf numFmtId="0" fontId="2" fillId="6" borderId="0" xfId="0" applyFont="1" applyFill="1" applyAlignment="1">
      <alignment vertical="center"/>
    </xf>
    <xf numFmtId="0" fontId="25" fillId="6" borderId="0" xfId="1" applyFont="1" applyFill="1" applyAlignment="1">
      <alignment vertical="center"/>
    </xf>
    <xf numFmtId="0" fontId="12" fillId="6" borderId="0" xfId="1" applyFill="1"/>
    <xf numFmtId="0" fontId="2" fillId="15" borderId="5" xfId="0" applyFont="1" applyFill="1" applyBorder="1" applyAlignment="1">
      <alignment horizontal="center"/>
    </xf>
    <xf numFmtId="0" fontId="2" fillId="15" borderId="5" xfId="0" applyFont="1" applyFill="1" applyBorder="1"/>
    <xf numFmtId="0" fontId="0" fillId="0" borderId="5" xfId="0" applyBorder="1" applyAlignment="1">
      <alignment horizontal="left"/>
    </xf>
    <xf numFmtId="0" fontId="4" fillId="2" borderId="5" xfId="0" applyFont="1" applyFill="1" applyBorder="1" applyAlignment="1">
      <alignment horizontal="center" vertical="center"/>
    </xf>
    <xf numFmtId="22" fontId="0" fillId="0" borderId="0" xfId="0" applyNumberFormat="1"/>
    <xf numFmtId="165" fontId="4" fillId="2" borderId="5" xfId="0" applyNumberFormat="1" applyFont="1" applyFill="1" applyBorder="1" applyAlignment="1">
      <alignment horizontal="center" vertical="center"/>
    </xf>
    <xf numFmtId="165" fontId="8" fillId="2" borderId="5" xfId="0" applyNumberFormat="1" applyFont="1" applyFill="1" applyBorder="1" applyAlignment="1">
      <alignment horizontal="center" vertical="center"/>
    </xf>
    <xf numFmtId="14" fontId="0" fillId="0" borderId="0" xfId="0" applyNumberFormat="1"/>
    <xf numFmtId="168" fontId="0" fillId="0" borderId="5" xfId="0" applyNumberFormat="1" applyBorder="1" applyAlignment="1">
      <alignment horizontal="center" vertical="center"/>
    </xf>
    <xf numFmtId="14" fontId="23" fillId="0" borderId="0" xfId="0" applyNumberFormat="1" applyFont="1"/>
    <xf numFmtId="0" fontId="0" fillId="0" borderId="37" xfId="0" applyBorder="1" applyAlignment="1">
      <alignment horizontal="center"/>
    </xf>
    <xf numFmtId="0" fontId="2" fillId="0" borderId="0" xfId="0" applyFont="1"/>
    <xf numFmtId="0" fontId="6" fillId="15" borderId="38" xfId="0" applyFont="1" applyFill="1" applyBorder="1" applyAlignment="1">
      <alignment horizontal="center" vertical="center"/>
    </xf>
    <xf numFmtId="0" fontId="6" fillId="15" borderId="20" xfId="0" applyFont="1" applyFill="1" applyBorder="1" applyAlignment="1">
      <alignment vertical="center"/>
    </xf>
    <xf numFmtId="0" fontId="18" fillId="0" borderId="23" xfId="0" applyFont="1" applyBorder="1" applyAlignment="1">
      <alignment vertical="center"/>
    </xf>
    <xf numFmtId="0" fontId="18" fillId="0" borderId="15" xfId="0" applyFont="1" applyBorder="1" applyAlignment="1">
      <alignment vertical="center"/>
    </xf>
    <xf numFmtId="0" fontId="0" fillId="3" borderId="7" xfId="0" applyFill="1" applyBorder="1" applyAlignment="1">
      <alignment vertical="center"/>
    </xf>
    <xf numFmtId="0" fontId="0" fillId="3" borderId="9" xfId="0" applyFill="1" applyBorder="1"/>
    <xf numFmtId="0" fontId="0" fillId="3" borderId="10" xfId="0" applyFill="1" applyBorder="1" applyAlignment="1">
      <alignment vertical="center"/>
    </xf>
    <xf numFmtId="0" fontId="0" fillId="3" borderId="0" xfId="0" applyFill="1"/>
    <xf numFmtId="164" fontId="23" fillId="0" borderId="0" xfId="0" applyNumberFormat="1" applyFont="1" applyAlignment="1">
      <alignment horizontal="right" vertical="center"/>
    </xf>
    <xf numFmtId="0" fontId="0" fillId="16" borderId="7" xfId="0" applyFill="1" applyBorder="1"/>
    <xf numFmtId="0" fontId="0" fillId="16" borderId="8" xfId="0" applyFill="1" applyBorder="1"/>
    <xf numFmtId="0" fontId="0" fillId="16" borderId="10" xfId="0" applyFill="1" applyBorder="1"/>
    <xf numFmtId="0" fontId="0" fillId="16" borderId="11" xfId="0" applyFill="1" applyBorder="1"/>
    <xf numFmtId="0" fontId="0" fillId="16" borderId="14" xfId="0" applyFill="1" applyBorder="1"/>
    <xf numFmtId="0" fontId="0" fillId="16" borderId="15" xfId="0" applyFill="1" applyBorder="1"/>
    <xf numFmtId="164" fontId="25" fillId="7" borderId="16" xfId="0" applyNumberFormat="1" applyFont="1" applyFill="1" applyBorder="1" applyAlignment="1">
      <alignment horizontal="right" vertical="center"/>
    </xf>
    <xf numFmtId="22" fontId="0" fillId="0" borderId="5" xfId="0" applyNumberFormat="1" applyBorder="1" applyAlignment="1">
      <alignment horizontal="center" vertical="center"/>
    </xf>
    <xf numFmtId="0" fontId="2" fillId="2" borderId="0" xfId="0" applyFont="1" applyFill="1"/>
    <xf numFmtId="0" fontId="12" fillId="0" borderId="0" xfId="1"/>
    <xf numFmtId="0" fontId="12" fillId="0" borderId="0" xfId="1" quotePrefix="1"/>
    <xf numFmtId="0" fontId="0" fillId="17" borderId="0" xfId="0" applyFill="1"/>
    <xf numFmtId="0" fontId="23" fillId="0" borderId="5" xfId="0" applyFont="1" applyBorder="1" applyAlignment="1">
      <alignment horizontal="center" vertical="center"/>
    </xf>
    <xf numFmtId="0" fontId="23" fillId="0" borderId="18" xfId="0" applyFont="1" applyBorder="1" applyAlignment="1">
      <alignment horizontal="center" vertical="center"/>
    </xf>
    <xf numFmtId="168" fontId="0" fillId="0" borderId="5" xfId="0" applyNumberFormat="1" applyBorder="1" applyAlignment="1">
      <alignment horizontal="center" vertical="center" wrapText="1"/>
    </xf>
    <xf numFmtId="0" fontId="0" fillId="18" borderId="21" xfId="0" applyFill="1" applyBorder="1"/>
    <xf numFmtId="0" fontId="0" fillId="18" borderId="22" xfId="0" applyFill="1" applyBorder="1"/>
    <xf numFmtId="0" fontId="0" fillId="18" borderId="23" xfId="0" applyFill="1" applyBorder="1"/>
    <xf numFmtId="0" fontId="0" fillId="0" borderId="0" xfId="0" applyAlignment="1">
      <alignment horizontal="left" vertical="top"/>
    </xf>
    <xf numFmtId="0" fontId="21" fillId="12" borderId="39" xfId="0" applyFont="1" applyFill="1" applyBorder="1" applyAlignment="1">
      <alignment horizontal="left" vertical="center" wrapText="1"/>
    </xf>
    <xf numFmtId="14" fontId="8" fillId="2" borderId="0" xfId="0" applyNumberFormat="1" applyFont="1" applyFill="1" applyAlignment="1">
      <alignment horizontal="center" vertical="center"/>
    </xf>
    <xf numFmtId="0" fontId="8" fillId="2" borderId="0" xfId="0" applyFont="1" applyFill="1" applyAlignment="1">
      <alignment horizontal="left" vertical="center"/>
    </xf>
    <xf numFmtId="0" fontId="8" fillId="19" borderId="0" xfId="0" applyFont="1" applyFill="1" applyAlignment="1">
      <alignment horizontal="left" vertical="center"/>
    </xf>
    <xf numFmtId="0" fontId="8" fillId="19" borderId="0" xfId="0" applyFont="1" applyFill="1" applyAlignment="1">
      <alignment horizontal="left" vertical="center" wrapText="1"/>
    </xf>
    <xf numFmtId="0" fontId="8" fillId="19" borderId="0" xfId="0" applyFont="1" applyFill="1" applyAlignment="1">
      <alignment horizontal="center" vertical="center" wrapText="1"/>
    </xf>
    <xf numFmtId="14" fontId="8" fillId="2" borderId="0" xfId="0" applyNumberFormat="1" applyFont="1" applyFill="1" applyAlignment="1">
      <alignment horizontal="center" vertical="center" wrapText="1"/>
    </xf>
    <xf numFmtId="0" fontId="8" fillId="2" borderId="0" xfId="0" applyFont="1" applyFill="1"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14" fontId="1" fillId="0" borderId="0" xfId="0" applyNumberFormat="1" applyFont="1" applyAlignment="1">
      <alignment horizontal="center" vertical="center"/>
    </xf>
    <xf numFmtId="18" fontId="1" fillId="0" borderId="0" xfId="0" applyNumberFormat="1" applyFont="1" applyAlignment="1">
      <alignment horizontal="center" vertical="center"/>
    </xf>
    <xf numFmtId="165" fontId="8" fillId="2" borderId="18" xfId="0" applyNumberFormat="1" applyFont="1" applyFill="1" applyBorder="1" applyAlignment="1">
      <alignment horizontal="center" vertical="center"/>
    </xf>
    <xf numFmtId="165" fontId="8" fillId="7" borderId="5" xfId="0" applyNumberFormat="1" applyFont="1" applyFill="1" applyBorder="1" applyAlignment="1">
      <alignment horizontal="center" vertical="center"/>
    </xf>
    <xf numFmtId="165" fontId="3" fillId="2" borderId="5" xfId="0" applyNumberFormat="1" applyFont="1" applyFill="1" applyBorder="1" applyAlignment="1">
      <alignment horizontal="center" vertical="center"/>
    </xf>
    <xf numFmtId="168" fontId="8" fillId="3" borderId="18" xfId="0" applyNumberFormat="1" applyFont="1" applyFill="1" applyBorder="1" applyAlignment="1">
      <alignment horizontal="center" vertical="center"/>
    </xf>
    <xf numFmtId="0" fontId="28" fillId="2" borderId="5" xfId="0" applyFont="1" applyFill="1" applyBorder="1" applyAlignment="1">
      <alignment horizontal="center" vertical="center"/>
    </xf>
    <xf numFmtId="0" fontId="28" fillId="2" borderId="5" xfId="0" applyFont="1" applyFill="1" applyBorder="1" applyAlignment="1">
      <alignment horizontal="left" vertical="center"/>
    </xf>
    <xf numFmtId="0" fontId="29" fillId="0" borderId="5" xfId="0" applyFont="1" applyBorder="1" applyAlignment="1">
      <alignment horizontal="center" vertical="center"/>
    </xf>
    <xf numFmtId="0" fontId="29" fillId="0" borderId="5" xfId="0" applyFont="1" applyBorder="1" applyAlignment="1">
      <alignment horizontal="left" vertical="center"/>
    </xf>
    <xf numFmtId="0" fontId="29" fillId="0" borderId="0" xfId="0" applyFont="1" applyAlignment="1">
      <alignment horizontal="center" vertical="center"/>
    </xf>
    <xf numFmtId="0" fontId="29" fillId="0" borderId="0" xfId="0" applyFont="1" applyAlignment="1">
      <alignment horizontal="left" vertical="center"/>
    </xf>
    <xf numFmtId="0" fontId="11" fillId="18" borderId="25" xfId="0" applyFont="1" applyFill="1" applyBorder="1" applyAlignment="1">
      <alignment horizontal="center" vertical="center" wrapText="1"/>
    </xf>
    <xf numFmtId="0" fontId="2" fillId="18" borderId="0" xfId="0" applyFont="1" applyFill="1" applyAlignment="1">
      <alignment horizontal="center"/>
    </xf>
    <xf numFmtId="0" fontId="0" fillId="0" borderId="0" xfId="0" applyAlignment="1">
      <alignment vertical="center"/>
    </xf>
    <xf numFmtId="0" fontId="30" fillId="10" borderId="0" xfId="0" applyFont="1" applyFill="1"/>
    <xf numFmtId="0" fontId="12" fillId="0" borderId="0" xfId="1" applyFill="1" applyBorder="1"/>
    <xf numFmtId="0" fontId="30" fillId="20" borderId="0" xfId="0" applyFont="1" applyFill="1" applyAlignment="1">
      <alignment horizontal="left" vertical="center"/>
    </xf>
    <xf numFmtId="0" fontId="30" fillId="20" borderId="0" xfId="0" applyFont="1" applyFill="1" applyAlignment="1">
      <alignment horizontal="center" vertical="center"/>
    </xf>
    <xf numFmtId="0" fontId="5" fillId="0" borderId="5" xfId="0" applyFont="1" applyBorder="1"/>
    <xf numFmtId="14" fontId="0" fillId="0" borderId="0" xfId="0" applyNumberFormat="1" applyAlignment="1">
      <alignment vertical="center"/>
    </xf>
    <xf numFmtId="0" fontId="32" fillId="0" borderId="5" xfId="0" applyFont="1" applyBorder="1" applyAlignment="1">
      <alignment horizontal="center" vertical="center"/>
    </xf>
    <xf numFmtId="0" fontId="27" fillId="0" borderId="5" xfId="0" applyFont="1" applyBorder="1"/>
    <xf numFmtId="16" fontId="0" fillId="0" borderId="0" xfId="0" quotePrefix="1" applyNumberFormat="1" applyAlignment="1">
      <alignment horizontal="center"/>
    </xf>
    <xf numFmtId="0" fontId="2" fillId="0" borderId="0" xfId="0" applyFont="1" applyAlignment="1">
      <alignment horizontal="center"/>
    </xf>
    <xf numFmtId="0" fontId="19" fillId="0" borderId="0" xfId="0" applyFont="1" applyAlignment="1">
      <alignment horizontal="center" vertical="center"/>
    </xf>
    <xf numFmtId="0" fontId="4" fillId="0" borderId="0" xfId="0" applyFont="1" applyAlignment="1">
      <alignment horizontal="center" vertical="center"/>
    </xf>
    <xf numFmtId="164" fontId="14" fillId="4" borderId="7" xfId="0" applyNumberFormat="1" applyFont="1" applyFill="1" applyBorder="1" applyAlignment="1">
      <alignment horizontal="center" vertical="center" wrapText="1"/>
    </xf>
    <xf numFmtId="164" fontId="14" fillId="4" borderId="8" xfId="0" applyNumberFormat="1" applyFont="1" applyFill="1" applyBorder="1" applyAlignment="1">
      <alignment horizontal="center" vertical="center" wrapText="1"/>
    </xf>
    <xf numFmtId="164" fontId="2" fillId="7" borderId="19" xfId="0" applyNumberFormat="1" applyFont="1" applyFill="1" applyBorder="1" applyAlignment="1">
      <alignment horizontal="center" vertical="center"/>
    </xf>
    <xf numFmtId="164" fontId="2" fillId="7" borderId="20" xfId="0" applyNumberFormat="1" applyFont="1" applyFill="1" applyBorder="1" applyAlignment="1">
      <alignment horizontal="center" vertical="center"/>
    </xf>
    <xf numFmtId="0" fontId="0" fillId="0" borderId="10" xfId="0" applyBorder="1" applyAlignment="1">
      <alignment horizontal="center"/>
    </xf>
    <xf numFmtId="164" fontId="15" fillId="4" borderId="7" xfId="0" applyNumberFormat="1" applyFont="1" applyFill="1" applyBorder="1" applyAlignment="1">
      <alignment horizontal="center" vertical="center" wrapText="1"/>
    </xf>
    <xf numFmtId="164" fontId="15" fillId="4" borderId="8" xfId="0" applyNumberFormat="1" applyFont="1" applyFill="1" applyBorder="1" applyAlignment="1">
      <alignment horizontal="center" vertical="center" wrapText="1"/>
    </xf>
    <xf numFmtId="164" fontId="14" fillId="4" borderId="9" xfId="0" applyNumberFormat="1" applyFont="1" applyFill="1" applyBorder="1" applyAlignment="1">
      <alignment horizontal="center" vertical="center" wrapText="1"/>
    </xf>
    <xf numFmtId="164" fontId="2" fillId="7" borderId="19" xfId="0" applyNumberFormat="1" applyFont="1" applyFill="1" applyBorder="1" applyAlignment="1">
      <alignment horizontal="right" vertical="center"/>
    </xf>
    <xf numFmtId="164" fontId="2" fillId="7" borderId="26" xfId="0" applyNumberFormat="1" applyFont="1" applyFill="1" applyBorder="1" applyAlignment="1">
      <alignment horizontal="right" vertical="center"/>
    </xf>
    <xf numFmtId="164" fontId="2" fillId="7" borderId="26" xfId="0" applyNumberFormat="1" applyFont="1" applyFill="1" applyBorder="1" applyAlignment="1">
      <alignment horizontal="center" vertical="center"/>
    </xf>
    <xf numFmtId="164" fontId="31" fillId="4" borderId="7" xfId="0" applyNumberFormat="1" applyFont="1" applyFill="1" applyBorder="1" applyAlignment="1">
      <alignment horizontal="center" vertical="center" wrapText="1"/>
    </xf>
    <xf numFmtId="164" fontId="31" fillId="4" borderId="8" xfId="0" applyNumberFormat="1" applyFont="1" applyFill="1" applyBorder="1" applyAlignment="1">
      <alignment horizontal="center" vertical="center" wrapText="1"/>
    </xf>
    <xf numFmtId="164" fontId="2" fillId="7" borderId="20" xfId="0" applyNumberFormat="1" applyFont="1" applyFill="1" applyBorder="1" applyAlignment="1">
      <alignment horizontal="right" vertical="center"/>
    </xf>
    <xf numFmtId="0" fontId="2" fillId="6" borderId="5" xfId="0" applyFont="1" applyFill="1" applyBorder="1" applyAlignment="1">
      <alignment horizontal="center"/>
    </xf>
    <xf numFmtId="0" fontId="9" fillId="5" borderId="5" xfId="0" applyFont="1" applyFill="1" applyBorder="1" applyAlignment="1">
      <alignment horizontal="center"/>
    </xf>
    <xf numFmtId="164" fontId="9" fillId="5" borderId="0" xfId="0" applyNumberFormat="1" applyFont="1" applyFill="1" applyAlignment="1">
      <alignment horizontal="center"/>
    </xf>
    <xf numFmtId="164" fontId="2" fillId="6" borderId="0" xfId="0" applyNumberFormat="1" applyFont="1" applyFill="1" applyAlignment="1">
      <alignment horizontal="center"/>
    </xf>
    <xf numFmtId="0" fontId="2" fillId="0" borderId="5" xfId="0" applyFont="1" applyBorder="1" applyAlignment="1">
      <alignment horizontal="center" vertical="center" wrapText="1"/>
    </xf>
    <xf numFmtId="0" fontId="0" fillId="0" borderId="5" xfId="0" applyBorder="1" applyAlignment="1">
      <alignment horizontal="center" vertical="center"/>
    </xf>
    <xf numFmtId="0" fontId="0" fillId="0" borderId="9" xfId="0" applyBorder="1" applyAlignment="1">
      <alignment horizontal="center"/>
    </xf>
    <xf numFmtId="0" fontId="0" fillId="0" borderId="0" xfId="0" applyAlignment="1">
      <alignment horizontal="center"/>
    </xf>
    <xf numFmtId="0" fontId="0" fillId="0" borderId="17" xfId="0" applyBorder="1" applyAlignment="1">
      <alignment horizontal="center"/>
    </xf>
    <xf numFmtId="0" fontId="2" fillId="14" borderId="19" xfId="0" applyFont="1" applyFill="1" applyBorder="1" applyAlignment="1">
      <alignment horizontal="left"/>
    </xf>
    <xf numFmtId="0" fontId="2" fillId="14" borderId="20" xfId="0" applyFont="1" applyFill="1" applyBorder="1" applyAlignment="1">
      <alignment horizontal="left"/>
    </xf>
    <xf numFmtId="0" fontId="2" fillId="16" borderId="19" xfId="0" applyFont="1" applyFill="1" applyBorder="1" applyAlignment="1">
      <alignment horizontal="left"/>
    </xf>
    <xf numFmtId="0" fontId="2" fillId="16" borderId="20" xfId="0" applyFont="1" applyFill="1" applyBorder="1" applyAlignment="1">
      <alignment horizontal="left"/>
    </xf>
    <xf numFmtId="0" fontId="8" fillId="3" borderId="4" xfId="0" applyFont="1" applyFill="1" applyBorder="1" applyAlignment="1">
      <alignment horizontal="center" vertical="center"/>
    </xf>
    <xf numFmtId="0" fontId="8" fillId="3" borderId="17"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3" borderId="5" xfId="0" applyFont="1" applyFill="1" applyBorder="1" applyAlignment="1">
      <alignment horizontal="center" vertical="center"/>
    </xf>
    <xf numFmtId="0" fontId="4" fillId="3" borderId="5" xfId="0" applyFont="1" applyFill="1" applyBorder="1" applyAlignment="1">
      <alignment horizontal="center" vertical="center" wrapText="1"/>
    </xf>
    <xf numFmtId="0" fontId="4" fillId="2" borderId="5" xfId="0" applyFont="1" applyFill="1" applyBorder="1" applyAlignment="1">
      <alignment horizontal="center" vertical="center"/>
    </xf>
    <xf numFmtId="14" fontId="4" fillId="3" borderId="5" xfId="0" applyNumberFormat="1" applyFont="1" applyFill="1" applyBorder="1" applyAlignment="1">
      <alignment horizontal="center" vertical="center" wrapText="1"/>
    </xf>
  </cellXfs>
  <cellStyles count="2">
    <cellStyle name="Hyperlink" xfId="1" builtinId="8"/>
    <cellStyle name="Normal" xfId="0" builtinId="0"/>
  </cellStyles>
  <dxfs count="7">
    <dxf>
      <font>
        <color rgb="FF9C0006"/>
      </font>
    </dxf>
    <dxf>
      <font>
        <color rgb="FFFF0000"/>
      </font>
      <fill>
        <patternFill patternType="none">
          <bgColor auto="1"/>
        </patternFill>
      </fill>
    </dxf>
    <dxf>
      <font>
        <color rgb="FF9C0006"/>
      </font>
      <fill>
        <patternFill>
          <bgColor rgb="FFFFC7CE"/>
        </patternFill>
      </fill>
    </dxf>
    <dxf>
      <fill>
        <patternFill>
          <bgColor rgb="FFFFFF00"/>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1" defaultTableStyle="TableStyleMedium2" defaultPivotStyle="PivotStyleLight16">
    <tableStyle name="CCC-style" pivot="0" count="3" xr9:uid="{13B834A3-1A5B-4DBF-9406-2D12236AFA80}">
      <tableStyleElement type="headerRow" dxfId="6"/>
      <tableStyleElement type="firstRowStripe" dxfId="5"/>
      <tableStyleElement type="secondRowStripe" dxfId="4"/>
    </tableStyle>
  </tableStyles>
  <colors>
    <mruColors>
      <color rgb="FFFFCCCC"/>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PH"/>
              <a:t>SIEM Process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88C-47CE-8562-52147DC40E2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88C-47CE-8562-52147DC40E20}"/>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SUMMARY!$J$32:$J$33</c:f>
              <c:strCache>
                <c:ptCount val="2"/>
                <c:pt idx="0">
                  <c:v>Pending</c:v>
                </c:pt>
                <c:pt idx="1">
                  <c:v>Complete</c:v>
                </c:pt>
              </c:strCache>
            </c:strRef>
          </c:cat>
          <c:val>
            <c:numRef>
              <c:f>SUMMARY!$K$32:$K$33</c:f>
              <c:numCache>
                <c:formatCode>_(* #,##0_);_(* \(#,##0\);_(* "-"_);_(@_)</c:formatCode>
                <c:ptCount val="2"/>
                <c:pt idx="0">
                  <c:v>0</c:v>
                </c:pt>
                <c:pt idx="1">
                  <c:v>0</c:v>
                </c:pt>
              </c:numCache>
            </c:numRef>
          </c:val>
          <c:extLst>
            <c:ext xmlns:c16="http://schemas.microsoft.com/office/drawing/2014/chart" uri="{C3380CC4-5D6E-409C-BE32-E72D297353CC}">
              <c16:uniqueId val="{00000000-9276-4699-80FE-40BE9F50856D}"/>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PH"/>
              <a:t>Request For Added to WAF</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34A-478E-9FD0-00DE3E1210C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34A-478E-9FD0-00DE3E1210CB}"/>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SUMMARY!$J$37:$J$38</c:f>
              <c:strCache>
                <c:ptCount val="2"/>
                <c:pt idx="0">
                  <c:v>Pending</c:v>
                </c:pt>
                <c:pt idx="1">
                  <c:v>Complete</c:v>
                </c:pt>
              </c:strCache>
            </c:strRef>
          </c:cat>
          <c:val>
            <c:numRef>
              <c:f>SUMMARY!$K$37:$K$38</c:f>
              <c:numCache>
                <c:formatCode>_(* #,##0_);_(* \(#,##0\);_(* "-"_);_(@_)</c:formatCode>
                <c:ptCount val="2"/>
                <c:pt idx="0">
                  <c:v>0</c:v>
                </c:pt>
                <c:pt idx="1">
                  <c:v>0</c:v>
                </c:pt>
              </c:numCache>
            </c:numRef>
          </c:val>
          <c:extLst>
            <c:ext xmlns:c16="http://schemas.microsoft.com/office/drawing/2014/chart" uri="{C3380CC4-5D6E-409C-BE32-E72D297353CC}">
              <c16:uniqueId val="{00000000-1215-4D77-932F-E220225594B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231321</xdr:colOff>
      <xdr:row>25</xdr:row>
      <xdr:rowOff>134257</xdr:rowOff>
    </xdr:from>
    <xdr:to>
      <xdr:col>26</xdr:col>
      <xdr:colOff>22678</xdr:colOff>
      <xdr:row>40</xdr:row>
      <xdr:rowOff>156029</xdr:rowOff>
    </xdr:to>
    <xdr:graphicFrame macro="">
      <xdr:nvGraphicFramePr>
        <xdr:cNvPr id="4" name="Chart 3">
          <a:extLst>
            <a:ext uri="{FF2B5EF4-FFF2-40B4-BE49-F238E27FC236}">
              <a16:creationId xmlns:a16="http://schemas.microsoft.com/office/drawing/2014/main" id="{771B9B64-1485-D749-FE6F-155CC249DD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119062</xdr:colOff>
      <xdr:row>25</xdr:row>
      <xdr:rowOff>120650</xdr:rowOff>
    </xdr:from>
    <xdr:to>
      <xdr:col>38</xdr:col>
      <xdr:colOff>103187</xdr:colOff>
      <xdr:row>40</xdr:row>
      <xdr:rowOff>125413</xdr:rowOff>
    </xdr:to>
    <xdr:graphicFrame macro="">
      <xdr:nvGraphicFramePr>
        <xdr:cNvPr id="5" name="Chart 4">
          <a:extLst>
            <a:ext uri="{FF2B5EF4-FFF2-40B4-BE49-F238E27FC236}">
              <a16:creationId xmlns:a16="http://schemas.microsoft.com/office/drawing/2014/main" id="{D8A1E123-81E0-419C-725C-1FA4FD4A74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28575">
          <a:solidFill>
            <a:sysClr val="windowText" lastClr="000000"/>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jabcruz@palawanpawnshop.com" TargetMode="External"/><Relationship Id="rId13" Type="http://schemas.openxmlformats.org/officeDocument/2006/relationships/hyperlink" Target="mailto:mapaglinawan@palawanpawnshop.com" TargetMode="External"/><Relationship Id="rId18" Type="http://schemas.openxmlformats.org/officeDocument/2006/relationships/hyperlink" Target="mailto:rfsedon@palawanpawnshop.com" TargetMode="External"/><Relationship Id="rId26" Type="http://schemas.openxmlformats.org/officeDocument/2006/relationships/hyperlink" Target="mailto:romartinez@palawanpawnshop.com" TargetMode="External"/><Relationship Id="rId3" Type="http://schemas.openxmlformats.org/officeDocument/2006/relationships/hyperlink" Target="mailto:bgorillos@palawanpawnshop.com" TargetMode="External"/><Relationship Id="rId21" Type="http://schemas.openxmlformats.org/officeDocument/2006/relationships/hyperlink" Target="mailto:samabella@palawanpawnshop.com" TargetMode="External"/><Relationship Id="rId7" Type="http://schemas.openxmlformats.org/officeDocument/2006/relationships/hyperlink" Target="mailto:csestigoy@palawanpawnshop.com" TargetMode="External"/><Relationship Id="rId12" Type="http://schemas.openxmlformats.org/officeDocument/2006/relationships/hyperlink" Target="mailto:kcpsebido@palawanpawnshop.com" TargetMode="External"/><Relationship Id="rId17" Type="http://schemas.openxmlformats.org/officeDocument/2006/relationships/hyperlink" Target="mailto:rfbadayos@palawanpawnshop.com" TargetMode="External"/><Relationship Id="rId25" Type="http://schemas.openxmlformats.org/officeDocument/2006/relationships/hyperlink" Target="mailto:radolesco@palawanpawnshop.com" TargetMode="External"/><Relationship Id="rId2" Type="http://schemas.openxmlformats.org/officeDocument/2006/relationships/hyperlink" Target="mailto:jtolasa@palawanpawnshop.com" TargetMode="External"/><Relationship Id="rId16" Type="http://schemas.openxmlformats.org/officeDocument/2006/relationships/hyperlink" Target="mailto:rdencarnacion@palawanpawnshop.com" TargetMode="External"/><Relationship Id="rId20" Type="http://schemas.openxmlformats.org/officeDocument/2006/relationships/hyperlink" Target="mailto:rshubilla@palawanpawnshop.com" TargetMode="External"/><Relationship Id="rId29" Type="http://schemas.openxmlformats.org/officeDocument/2006/relationships/printerSettings" Target="../printerSettings/printerSettings1.bin"/><Relationship Id="rId1" Type="http://schemas.openxmlformats.org/officeDocument/2006/relationships/hyperlink" Target="mailto:dlgallano@palawanpawnshop.com" TargetMode="External"/><Relationship Id="rId6" Type="http://schemas.openxmlformats.org/officeDocument/2006/relationships/hyperlink" Target="mailto:cjfpabustan@palawanpawnshop.com" TargetMode="External"/><Relationship Id="rId11" Type="http://schemas.openxmlformats.org/officeDocument/2006/relationships/hyperlink" Target="mailto:jdclavacio@palawanpawnshop.com" TargetMode="External"/><Relationship Id="rId24" Type="http://schemas.openxmlformats.org/officeDocument/2006/relationships/hyperlink" Target="mailto:welacanienta@palawanpawnshop.com" TargetMode="External"/><Relationship Id="rId5" Type="http://schemas.openxmlformats.org/officeDocument/2006/relationships/hyperlink" Target="mailto:caraltez@palawanpawnshop.com" TargetMode="External"/><Relationship Id="rId15" Type="http://schemas.openxmlformats.org/officeDocument/2006/relationships/hyperlink" Target="mailto:pnpbacosa@palawanpawnshop.com" TargetMode="External"/><Relationship Id="rId23" Type="http://schemas.openxmlformats.org/officeDocument/2006/relationships/hyperlink" Target="mailto:vrmgalan@palawanpawnshop.com" TargetMode="External"/><Relationship Id="rId28" Type="http://schemas.openxmlformats.org/officeDocument/2006/relationships/hyperlink" Target="mailto:abvicente@palawanpawnshop.com" TargetMode="External"/><Relationship Id="rId10" Type="http://schemas.openxmlformats.org/officeDocument/2006/relationships/hyperlink" Target="mailto:jrmmanoos@palawanpawnshop.com" TargetMode="External"/><Relationship Id="rId19" Type="http://schemas.openxmlformats.org/officeDocument/2006/relationships/hyperlink" Target="mailto:rrjuan@palawanpawnshop.com" TargetMode="External"/><Relationship Id="rId4" Type="http://schemas.openxmlformats.org/officeDocument/2006/relationships/hyperlink" Target="mailto:balgalan@palawanpawnshop.com" TargetMode="External"/><Relationship Id="rId9" Type="http://schemas.openxmlformats.org/officeDocument/2006/relationships/hyperlink" Target="mailto:jbjromualdo@palawanpawnshop.com" TargetMode="External"/><Relationship Id="rId14" Type="http://schemas.openxmlformats.org/officeDocument/2006/relationships/hyperlink" Target="mailto:mdcartaciano@palawanpawnshop.com" TargetMode="External"/><Relationship Id="rId22" Type="http://schemas.openxmlformats.org/officeDocument/2006/relationships/hyperlink" Target="mailto:vgmmanoos@palawanpawnshop.com" TargetMode="External"/><Relationship Id="rId27" Type="http://schemas.openxmlformats.org/officeDocument/2006/relationships/hyperlink" Target="mailto:pavillena@palawanpawnshop.com"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rgbalabat@palawanpawnshop.com" TargetMode="External"/><Relationship Id="rId3" Type="http://schemas.openxmlformats.org/officeDocument/2006/relationships/hyperlink" Target="mailto:cmvgarcellano@palawanpawnshop.com;" TargetMode="External"/><Relationship Id="rId7" Type="http://schemas.openxmlformats.org/officeDocument/2006/relationships/hyperlink" Target="mailto:svvelasquez@palawanpawnshop.com" TargetMode="External"/><Relationship Id="rId12" Type="http://schemas.openxmlformats.org/officeDocument/2006/relationships/printerSettings" Target="../printerSettings/printerSettings2.bin"/><Relationship Id="rId2" Type="http://schemas.openxmlformats.org/officeDocument/2006/relationships/hyperlink" Target="mailto:rmcrobrigado@palawanpawnshop.com;" TargetMode="External"/><Relationship Id="rId1" Type="http://schemas.openxmlformats.org/officeDocument/2006/relationships/hyperlink" Target="mailto:aramarquez@palawanpawnshop.com;" TargetMode="External"/><Relationship Id="rId6" Type="http://schemas.openxmlformats.org/officeDocument/2006/relationships/hyperlink" Target="mailto:mearpon@palawanpawnshop.com" TargetMode="External"/><Relationship Id="rId11" Type="http://schemas.openxmlformats.org/officeDocument/2006/relationships/hyperlink" Target="mailto:ijbdeguzman@palawanpawnshop.com" TargetMode="External"/><Relationship Id="rId5" Type="http://schemas.openxmlformats.org/officeDocument/2006/relationships/hyperlink" Target="mailto:jkaepe@palawanpawnshop.com" TargetMode="External"/><Relationship Id="rId10" Type="http://schemas.openxmlformats.org/officeDocument/2006/relationships/hyperlink" Target="mailto:ccdloreno@palawanpawnshop.com" TargetMode="External"/><Relationship Id="rId4" Type="http://schemas.openxmlformats.org/officeDocument/2006/relationships/hyperlink" Target="mailto:jrgdelacruzjr@palawanpawnshop.com" TargetMode="External"/><Relationship Id="rId9" Type="http://schemas.openxmlformats.org/officeDocument/2006/relationships/hyperlink" Target="mailto:dmtduenas@palawanpawnshop.com"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PPGBSPaudit@palawanpawnshop.com" TargetMode="External"/><Relationship Id="rId1" Type="http://schemas.openxmlformats.org/officeDocument/2006/relationships/hyperlink" Target="mailto:PPGBSPaudit@palawanpawnshop.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E03BD-26CA-494D-9CB4-7FB25BDD8FA9}">
  <sheetPr codeName="Sheet12"/>
  <dimension ref="A1:H40"/>
  <sheetViews>
    <sheetView workbookViewId="0">
      <pane ySplit="1" topLeftCell="A2" activePane="bottomLeft" state="frozen"/>
      <selection pane="bottomLeft" activeCell="D9" sqref="D9"/>
    </sheetView>
  </sheetViews>
  <sheetFormatPr defaultRowHeight="14.5" x14ac:dyDescent="0.35"/>
  <cols>
    <col min="1" max="1" width="26.36328125" bestFit="1" customWidth="1"/>
    <col min="2" max="2" width="25.26953125" bestFit="1" customWidth="1"/>
    <col min="3" max="3" width="10.26953125" customWidth="1"/>
    <col min="4" max="4" width="34.7265625" bestFit="1" customWidth="1"/>
    <col min="7" max="7" width="22.81640625" bestFit="1" customWidth="1"/>
  </cols>
  <sheetData>
    <row r="1" spans="1:8" x14ac:dyDescent="0.35">
      <c r="A1" s="137" t="s">
        <v>362</v>
      </c>
      <c r="B1" s="137" t="s">
        <v>617</v>
      </c>
      <c r="C1" s="137" t="s">
        <v>767</v>
      </c>
      <c r="D1" s="137" t="s">
        <v>768</v>
      </c>
    </row>
    <row r="2" spans="1:8" x14ac:dyDescent="0.35">
      <c r="D2" s="215"/>
      <c r="G2" t="s">
        <v>737</v>
      </c>
      <c r="H2" t="s">
        <v>724</v>
      </c>
    </row>
    <row r="3" spans="1:8" x14ac:dyDescent="0.35">
      <c r="D3" s="215"/>
      <c r="G3" t="s">
        <v>736</v>
      </c>
      <c r="H3" t="s">
        <v>723</v>
      </c>
    </row>
    <row r="4" spans="1:8" x14ac:dyDescent="0.35">
      <c r="D4" s="215"/>
      <c r="G4" t="s">
        <v>735</v>
      </c>
      <c r="H4" t="s">
        <v>722</v>
      </c>
    </row>
    <row r="5" spans="1:8" x14ac:dyDescent="0.35">
      <c r="D5" s="215"/>
      <c r="G5" t="s">
        <v>754</v>
      </c>
      <c r="H5" s="215" t="s">
        <v>769</v>
      </c>
    </row>
    <row r="6" spans="1:8" x14ac:dyDescent="0.35">
      <c r="D6" s="215"/>
      <c r="G6" t="s">
        <v>765</v>
      </c>
      <c r="H6" s="215" t="s">
        <v>770</v>
      </c>
    </row>
    <row r="7" spans="1:8" x14ac:dyDescent="0.35">
      <c r="G7" t="s">
        <v>738</v>
      </c>
      <c r="H7" t="s">
        <v>725</v>
      </c>
    </row>
    <row r="8" spans="1:8" x14ac:dyDescent="0.35">
      <c r="G8" t="s">
        <v>743</v>
      </c>
      <c r="H8" t="s">
        <v>730</v>
      </c>
    </row>
    <row r="9" spans="1:8" x14ac:dyDescent="0.35">
      <c r="G9" t="s">
        <v>748</v>
      </c>
      <c r="H9" s="215" t="s">
        <v>771</v>
      </c>
    </row>
    <row r="10" spans="1:8" x14ac:dyDescent="0.35">
      <c r="G10" t="s">
        <v>753</v>
      </c>
      <c r="H10" s="215" t="s">
        <v>772</v>
      </c>
    </row>
    <row r="11" spans="1:8" x14ac:dyDescent="0.35">
      <c r="G11" t="s">
        <v>757</v>
      </c>
      <c r="H11" s="215" t="s">
        <v>773</v>
      </c>
    </row>
    <row r="12" spans="1:8" x14ac:dyDescent="0.35">
      <c r="G12" t="s">
        <v>746</v>
      </c>
      <c r="H12" t="s">
        <v>733</v>
      </c>
    </row>
    <row r="13" spans="1:8" x14ac:dyDescent="0.35">
      <c r="G13" t="s">
        <v>742</v>
      </c>
      <c r="H13" s="215" t="s">
        <v>729</v>
      </c>
    </row>
    <row r="14" spans="1:8" x14ac:dyDescent="0.35">
      <c r="G14" t="s">
        <v>747</v>
      </c>
      <c r="H14" t="s">
        <v>734</v>
      </c>
    </row>
    <row r="15" spans="1:8" x14ac:dyDescent="0.35">
      <c r="G15" t="s">
        <v>745</v>
      </c>
      <c r="H15" t="s">
        <v>732</v>
      </c>
    </row>
    <row r="16" spans="1:8" x14ac:dyDescent="0.35">
      <c r="G16" t="s">
        <v>744</v>
      </c>
      <c r="H16" s="215" t="s">
        <v>731</v>
      </c>
    </row>
    <row r="17" spans="7:8" x14ac:dyDescent="0.35">
      <c r="G17" t="s">
        <v>763</v>
      </c>
      <c r="H17" s="215" t="s">
        <v>774</v>
      </c>
    </row>
    <row r="18" spans="7:8" x14ac:dyDescent="0.35">
      <c r="G18" t="s">
        <v>764</v>
      </c>
      <c r="H18" s="215" t="s">
        <v>775</v>
      </c>
    </row>
    <row r="19" spans="7:8" x14ac:dyDescent="0.35">
      <c r="G19" t="s">
        <v>749</v>
      </c>
      <c r="H19" s="215" t="s">
        <v>776</v>
      </c>
    </row>
    <row r="20" spans="7:8" x14ac:dyDescent="0.35">
      <c r="G20" t="s">
        <v>363</v>
      </c>
      <c r="H20" s="215" t="s">
        <v>777</v>
      </c>
    </row>
    <row r="21" spans="7:8" x14ac:dyDescent="0.35">
      <c r="G21" t="s">
        <v>739</v>
      </c>
      <c r="H21" t="s">
        <v>726</v>
      </c>
    </row>
    <row r="22" spans="7:8" x14ac:dyDescent="0.35">
      <c r="G22" t="s">
        <v>740</v>
      </c>
      <c r="H22" t="s">
        <v>727</v>
      </c>
    </row>
    <row r="23" spans="7:8" x14ac:dyDescent="0.35">
      <c r="G23" t="s">
        <v>762</v>
      </c>
      <c r="H23" s="215" t="s">
        <v>778</v>
      </c>
    </row>
    <row r="24" spans="7:8" x14ac:dyDescent="0.35">
      <c r="G24" t="s">
        <v>751</v>
      </c>
      <c r="H24" s="215" t="s">
        <v>779</v>
      </c>
    </row>
    <row r="25" spans="7:8" x14ac:dyDescent="0.35">
      <c r="G25" t="s">
        <v>759</v>
      </c>
      <c r="H25" s="215" t="s">
        <v>780</v>
      </c>
    </row>
    <row r="26" spans="7:8" x14ac:dyDescent="0.35">
      <c r="G26" t="s">
        <v>755</v>
      </c>
      <c r="H26" s="215" t="s">
        <v>781</v>
      </c>
    </row>
    <row r="27" spans="7:8" x14ac:dyDescent="0.35">
      <c r="G27" t="s">
        <v>756</v>
      </c>
      <c r="H27" s="215" t="s">
        <v>782</v>
      </c>
    </row>
    <row r="28" spans="7:8" x14ac:dyDescent="0.35">
      <c r="G28" t="s">
        <v>752</v>
      </c>
      <c r="H28" s="215" t="s">
        <v>783</v>
      </c>
    </row>
    <row r="29" spans="7:8" x14ac:dyDescent="0.35">
      <c r="G29" t="s">
        <v>761</v>
      </c>
      <c r="H29" s="215" t="s">
        <v>784</v>
      </c>
    </row>
    <row r="30" spans="7:8" x14ac:dyDescent="0.35">
      <c r="G30" t="s">
        <v>750</v>
      </c>
      <c r="H30" s="215" t="s">
        <v>785</v>
      </c>
    </row>
    <row r="31" spans="7:8" x14ac:dyDescent="0.35">
      <c r="G31" t="s">
        <v>376</v>
      </c>
      <c r="H31" s="215" t="s">
        <v>786</v>
      </c>
    </row>
    <row r="32" spans="7:8" x14ac:dyDescent="0.35">
      <c r="G32" t="s">
        <v>398</v>
      </c>
      <c r="H32" s="215" t="s">
        <v>787</v>
      </c>
    </row>
    <row r="33" spans="7:8" x14ac:dyDescent="0.35">
      <c r="G33" t="s">
        <v>766</v>
      </c>
      <c r="H33" s="215" t="s">
        <v>788</v>
      </c>
    </row>
    <row r="34" spans="7:8" x14ac:dyDescent="0.35">
      <c r="G34" t="s">
        <v>760</v>
      </c>
      <c r="H34" s="215" t="s">
        <v>789</v>
      </c>
    </row>
    <row r="35" spans="7:8" x14ac:dyDescent="0.35">
      <c r="G35" t="s">
        <v>758</v>
      </c>
      <c r="H35" s="215" t="s">
        <v>790</v>
      </c>
    </row>
    <row r="36" spans="7:8" x14ac:dyDescent="0.35">
      <c r="G36" t="s">
        <v>741</v>
      </c>
      <c r="H36" t="s">
        <v>728</v>
      </c>
    </row>
    <row r="37" spans="7:8" x14ac:dyDescent="0.35">
      <c r="G37" t="s">
        <v>791</v>
      </c>
      <c r="H37" s="215" t="s">
        <v>794</v>
      </c>
    </row>
    <row r="38" spans="7:8" x14ac:dyDescent="0.35">
      <c r="G38" t="s">
        <v>792</v>
      </c>
      <c r="H38" s="215" t="s">
        <v>795</v>
      </c>
    </row>
    <row r="39" spans="7:8" x14ac:dyDescent="0.35">
      <c r="G39" t="s">
        <v>793</v>
      </c>
      <c r="H39" s="215" t="s">
        <v>796</v>
      </c>
    </row>
    <row r="40" spans="7:8" x14ac:dyDescent="0.35">
      <c r="G40" t="s">
        <v>721</v>
      </c>
      <c r="H40" s="215" t="s">
        <v>722</v>
      </c>
    </row>
  </sheetData>
  <autoFilter ref="A1:D1" xr:uid="{FE8E03BD-26CA-494D-9CB4-7FB25BDD8FA9}">
    <sortState xmlns:xlrd2="http://schemas.microsoft.com/office/spreadsheetml/2017/richdata2" ref="A2:D41">
      <sortCondition ref="A1"/>
    </sortState>
  </autoFilter>
  <hyperlinks>
    <hyperlink ref="H13" r:id="rId1" xr:uid="{D79E272F-60AC-4BF8-96D3-258E0AAF0545}"/>
    <hyperlink ref="H16" r:id="rId2" xr:uid="{520CC3DF-6391-424A-8298-4081AA8F615C}"/>
    <hyperlink ref="H5" r:id="rId3" xr:uid="{9025E1D0-6A0B-48A7-92B1-9B5C273EB7E0}"/>
    <hyperlink ref="H6" r:id="rId4" xr:uid="{E612CF1D-B591-4D0F-8CAB-12A9529DB182}"/>
    <hyperlink ref="H9" r:id="rId5" xr:uid="{5F7C792F-A674-4E60-92D9-305B714AB61D}"/>
    <hyperlink ref="H10" r:id="rId6" xr:uid="{81A0FC82-7961-44E6-99C2-EA934F8EB99E}"/>
    <hyperlink ref="H11" r:id="rId7" xr:uid="{4664ABA8-877E-4350-83CD-DC454A0E22F2}"/>
    <hyperlink ref="H17" r:id="rId8" xr:uid="{07D13674-1796-4909-BF01-A6BF04D88FBB}"/>
    <hyperlink ref="H18" r:id="rId9" xr:uid="{C34780A2-F5D1-40D5-95BA-F92C2D68AF86}"/>
    <hyperlink ref="H19" r:id="rId10" xr:uid="{8EA47C71-E23C-4FE2-B640-73D7D32EA49B}"/>
    <hyperlink ref="H20" r:id="rId11" xr:uid="{F8641B24-BD10-4082-93E0-19F46454C86A}"/>
    <hyperlink ref="H23" r:id="rId12" xr:uid="{E34119D7-ECB4-4914-91B2-29A7E9ADB137}"/>
    <hyperlink ref="H24" r:id="rId13" xr:uid="{85AD7F13-1BE2-41DD-811D-77D4CF3B1A70}"/>
    <hyperlink ref="H25" r:id="rId14" xr:uid="{1773466E-93E2-4942-A256-A28863F6ECC7}"/>
    <hyperlink ref="H26" r:id="rId15" xr:uid="{4FF340AD-D4DE-4226-9708-C7B661E518DF}"/>
    <hyperlink ref="H27" r:id="rId16" xr:uid="{ED8B55D4-E50F-499D-B4E2-947D9386D32D}"/>
    <hyperlink ref="H28" r:id="rId17" xr:uid="{B1299126-D2BC-4239-8A12-E0DA017EF9B8}"/>
    <hyperlink ref="H29" r:id="rId18" xr:uid="{03292876-3E03-45B7-8041-5F6379BBEDD5}"/>
    <hyperlink ref="H30" r:id="rId19" xr:uid="{A4DEA306-A3AA-4358-A246-D7F236681538}"/>
    <hyperlink ref="H31" r:id="rId20" xr:uid="{5236D141-067D-4945-B77C-B7139ED1B948}"/>
    <hyperlink ref="H32" r:id="rId21" xr:uid="{EDE9FD5F-0B1B-43B7-969A-C5140A2E418E}"/>
    <hyperlink ref="H33" r:id="rId22" xr:uid="{7BB8694D-BEAD-496C-A7B0-8D8D2B7AEB0C}"/>
    <hyperlink ref="H34" r:id="rId23" xr:uid="{6181F6AB-CE09-44BD-936C-403010D967A1}"/>
    <hyperlink ref="H35" r:id="rId24" xr:uid="{34671D57-51FA-441B-96FB-F2811B643C1E}"/>
    <hyperlink ref="H37" r:id="rId25" xr:uid="{5C8F4D67-6013-4BA8-9456-0AD80F73078D}"/>
    <hyperlink ref="H38" r:id="rId26" xr:uid="{60B6FCE4-3A27-4EF1-A263-0D36C30DEF3E}"/>
    <hyperlink ref="H39" r:id="rId27" xr:uid="{24E2D4CA-8559-4250-86CD-B00B1F476DE4}"/>
    <hyperlink ref="H40" r:id="rId28" xr:uid="{C19E0023-77E7-4D01-937A-014EE5611BA8}"/>
  </hyperlinks>
  <pageMargins left="0.7" right="0.7" top="0.75" bottom="0.75" header="0.3" footer="0.3"/>
  <pageSetup orientation="portrait" horizontalDpi="1200" verticalDpi="1200" r:id="rId2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22B90-86F7-4184-A54E-7C09A161166D}">
  <sheetPr codeName="Sheet27">
    <tabColor rgb="FFFF3399"/>
  </sheetPr>
  <dimension ref="A1:H14"/>
  <sheetViews>
    <sheetView zoomScale="80" zoomScaleNormal="80" workbookViewId="0">
      <pane ySplit="1" topLeftCell="A2" activePane="bottomLeft" state="frozen"/>
      <selection pane="bottomLeft" activeCell="F17" sqref="F17"/>
    </sheetView>
  </sheetViews>
  <sheetFormatPr defaultRowHeight="14.5" x14ac:dyDescent="0.35"/>
  <cols>
    <col min="1" max="1" width="12.36328125" bestFit="1" customWidth="1"/>
    <col min="2" max="2" width="21.36328125" bestFit="1" customWidth="1"/>
    <col min="3" max="3" width="11.36328125" bestFit="1" customWidth="1"/>
    <col min="4" max="4" width="50.1796875" bestFit="1" customWidth="1"/>
    <col min="5" max="5" width="22.453125" bestFit="1" customWidth="1"/>
    <col min="6" max="6" width="27.81640625" bestFit="1" customWidth="1"/>
    <col min="7" max="7" width="12.1796875" bestFit="1" customWidth="1"/>
    <col min="8" max="8" width="10.36328125" bestFit="1" customWidth="1"/>
  </cols>
  <sheetData>
    <row r="1" spans="1:8" x14ac:dyDescent="0.35">
      <c r="A1" s="214" t="s">
        <v>872</v>
      </c>
      <c r="B1" s="214" t="s">
        <v>1670</v>
      </c>
      <c r="C1" s="214" t="s">
        <v>617</v>
      </c>
      <c r="D1" s="214" t="s">
        <v>154</v>
      </c>
      <c r="E1" s="214" t="s">
        <v>1678</v>
      </c>
      <c r="F1" s="214" t="s">
        <v>1675</v>
      </c>
      <c r="G1" s="214" t="s">
        <v>1673</v>
      </c>
      <c r="H1" s="214" t="s">
        <v>1674</v>
      </c>
    </row>
    <row r="2" spans="1:8" x14ac:dyDescent="0.35">
      <c r="A2" s="192">
        <v>45363</v>
      </c>
      <c r="B2" t="s">
        <v>1681</v>
      </c>
      <c r="C2" t="s">
        <v>1671</v>
      </c>
      <c r="D2" t="s">
        <v>1672</v>
      </c>
      <c r="E2" t="s">
        <v>1691</v>
      </c>
      <c r="F2" t="s">
        <v>1692</v>
      </c>
      <c r="G2" s="192">
        <v>45363</v>
      </c>
      <c r="H2" t="s">
        <v>1690</v>
      </c>
    </row>
    <row r="3" spans="1:8" x14ac:dyDescent="0.35">
      <c r="A3" s="192">
        <v>45365</v>
      </c>
      <c r="B3" t="s">
        <v>1681</v>
      </c>
      <c r="C3" t="s">
        <v>1671</v>
      </c>
      <c r="D3" t="s">
        <v>1672</v>
      </c>
      <c r="E3" t="s">
        <v>1679</v>
      </c>
      <c r="F3" t="s">
        <v>1676</v>
      </c>
      <c r="G3" s="192">
        <v>45365</v>
      </c>
      <c r="H3" t="s">
        <v>1677</v>
      </c>
    </row>
    <row r="4" spans="1:8" x14ac:dyDescent="0.35">
      <c r="A4" s="255">
        <v>45365</v>
      </c>
      <c r="B4" s="249" t="s">
        <v>1682</v>
      </c>
      <c r="C4" s="249" t="s">
        <v>1689</v>
      </c>
      <c r="E4" s="249" t="s">
        <v>1680</v>
      </c>
      <c r="F4" t="s">
        <v>1683</v>
      </c>
      <c r="G4" s="192">
        <v>45365</v>
      </c>
      <c r="H4" t="s">
        <v>1677</v>
      </c>
    </row>
    <row r="5" spans="1:8" x14ac:dyDescent="0.35">
      <c r="A5" s="255">
        <v>45365</v>
      </c>
      <c r="B5" s="249" t="s">
        <v>1682</v>
      </c>
      <c r="C5" s="249" t="s">
        <v>1689</v>
      </c>
      <c r="E5" s="249" t="s">
        <v>1680</v>
      </c>
      <c r="F5" t="s">
        <v>1684</v>
      </c>
      <c r="G5" s="192">
        <v>45365</v>
      </c>
      <c r="H5" t="s">
        <v>1677</v>
      </c>
    </row>
    <row r="6" spans="1:8" x14ac:dyDescent="0.35">
      <c r="A6" s="255">
        <v>45365</v>
      </c>
      <c r="B6" s="249" t="s">
        <v>1682</v>
      </c>
      <c r="C6" s="249" t="s">
        <v>1689</v>
      </c>
      <c r="E6" s="249" t="s">
        <v>1680</v>
      </c>
      <c r="F6" t="s">
        <v>1685</v>
      </c>
      <c r="G6" s="192">
        <v>45365</v>
      </c>
      <c r="H6" t="s">
        <v>1677</v>
      </c>
    </row>
    <row r="7" spans="1:8" x14ac:dyDescent="0.35">
      <c r="A7" s="255">
        <v>45365</v>
      </c>
      <c r="B7" s="249" t="s">
        <v>1682</v>
      </c>
      <c r="C7" s="249" t="s">
        <v>1689</v>
      </c>
      <c r="E7" s="249" t="s">
        <v>1680</v>
      </c>
      <c r="F7" t="s">
        <v>1687</v>
      </c>
      <c r="G7" s="192">
        <v>45365</v>
      </c>
      <c r="H7" t="s">
        <v>1677</v>
      </c>
    </row>
    <row r="8" spans="1:8" x14ac:dyDescent="0.35">
      <c r="A8" s="255">
        <v>45365</v>
      </c>
      <c r="B8" s="249" t="s">
        <v>1682</v>
      </c>
      <c r="C8" s="249" t="s">
        <v>1689</v>
      </c>
      <c r="E8" s="249" t="s">
        <v>1680</v>
      </c>
      <c r="F8" t="s">
        <v>1688</v>
      </c>
      <c r="G8" s="192">
        <v>45365</v>
      </c>
      <c r="H8" t="s">
        <v>1677</v>
      </c>
    </row>
    <row r="9" spans="1:8" x14ac:dyDescent="0.35">
      <c r="A9" s="255">
        <v>45365</v>
      </c>
      <c r="B9" s="249" t="s">
        <v>1682</v>
      </c>
      <c r="C9" s="249" t="s">
        <v>1689</v>
      </c>
      <c r="E9" s="249" t="s">
        <v>1680</v>
      </c>
      <c r="F9" t="s">
        <v>1686</v>
      </c>
      <c r="G9" s="192">
        <v>45365</v>
      </c>
      <c r="H9" t="s">
        <v>1677</v>
      </c>
    </row>
    <row r="10" spans="1:8" x14ac:dyDescent="0.35">
      <c r="A10" s="192">
        <v>45390</v>
      </c>
      <c r="B10" s="249" t="s">
        <v>1697</v>
      </c>
      <c r="C10" t="s">
        <v>1671</v>
      </c>
      <c r="D10" t="s">
        <v>1696</v>
      </c>
      <c r="E10" s="249" t="s">
        <v>1698</v>
      </c>
      <c r="F10" t="s">
        <v>1695</v>
      </c>
      <c r="G10" s="192">
        <v>45390</v>
      </c>
      <c r="H10" t="s">
        <v>1677</v>
      </c>
    </row>
    <row r="11" spans="1:8" x14ac:dyDescent="0.35">
      <c r="A11" s="192">
        <v>45390</v>
      </c>
      <c r="B11" s="249" t="s">
        <v>1697</v>
      </c>
      <c r="C11" t="s">
        <v>1671</v>
      </c>
      <c r="D11" t="s">
        <v>1696</v>
      </c>
      <c r="E11" s="249" t="s">
        <v>1698</v>
      </c>
      <c r="F11" t="s">
        <v>1699</v>
      </c>
      <c r="G11" s="192">
        <v>45390</v>
      </c>
      <c r="H11" t="s">
        <v>1677</v>
      </c>
    </row>
    <row r="12" spans="1:8" x14ac:dyDescent="0.35">
      <c r="A12" s="192">
        <v>45405</v>
      </c>
      <c r="B12" s="249" t="s">
        <v>1682</v>
      </c>
      <c r="C12" s="249" t="s">
        <v>1689</v>
      </c>
      <c r="D12" t="s">
        <v>1672</v>
      </c>
      <c r="E12" s="249" t="s">
        <v>1708</v>
      </c>
      <c r="F12" t="s">
        <v>1706</v>
      </c>
      <c r="G12" s="192">
        <v>45405</v>
      </c>
      <c r="H12" t="s">
        <v>1677</v>
      </c>
    </row>
    <row r="13" spans="1:8" x14ac:dyDescent="0.35">
      <c r="A13" s="192">
        <v>45405</v>
      </c>
      <c r="B13" s="249" t="s">
        <v>1682</v>
      </c>
      <c r="C13" s="249" t="s">
        <v>1689</v>
      </c>
      <c r="D13" t="s">
        <v>1672</v>
      </c>
      <c r="E13" s="249" t="s">
        <v>1708</v>
      </c>
      <c r="F13" t="s">
        <v>1707</v>
      </c>
      <c r="G13" s="192">
        <v>45405</v>
      </c>
      <c r="H13" t="s">
        <v>1677</v>
      </c>
    </row>
    <row r="14" spans="1:8" x14ac:dyDescent="0.35">
      <c r="A14" s="192">
        <v>45412</v>
      </c>
      <c r="B14" s="249" t="s">
        <v>1697</v>
      </c>
      <c r="C14" t="s">
        <v>1671</v>
      </c>
      <c r="D14" t="s">
        <v>1696</v>
      </c>
      <c r="E14" s="249" t="s">
        <v>1698</v>
      </c>
      <c r="F14" t="s">
        <v>1709</v>
      </c>
      <c r="G14" s="192">
        <v>45412</v>
      </c>
      <c r="H14" t="s">
        <v>1677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6DC1B-C616-43F3-91B3-0A486D0B8982}">
  <sheetPr codeName="Sheet14">
    <tabColor rgb="FFFF0000"/>
  </sheetPr>
  <dimension ref="A1:K51"/>
  <sheetViews>
    <sheetView topLeftCell="A15" zoomScale="76" zoomScaleNormal="76" workbookViewId="0">
      <selection activeCell="B5" sqref="B5:E40"/>
    </sheetView>
  </sheetViews>
  <sheetFormatPr defaultRowHeight="14.5" x14ac:dyDescent="0.35"/>
  <cols>
    <col min="1" max="1" width="30.26953125" customWidth="1"/>
    <col min="5" max="5" width="57.7265625" customWidth="1"/>
    <col min="7" max="7" width="30.26953125" customWidth="1"/>
  </cols>
  <sheetData>
    <row r="1" spans="1:10" x14ac:dyDescent="0.35">
      <c r="A1" s="61"/>
      <c r="B1" s="64"/>
      <c r="C1" s="64"/>
      <c r="D1" s="64"/>
      <c r="E1" s="61"/>
      <c r="F1" s="64"/>
      <c r="G1" s="61"/>
    </row>
    <row r="2" spans="1:10" ht="15.5" x14ac:dyDescent="0.35">
      <c r="A2" s="260" t="s">
        <v>299</v>
      </c>
      <c r="B2" s="260"/>
      <c r="C2" s="260"/>
      <c r="D2" s="260"/>
      <c r="E2" s="260"/>
      <c r="F2" s="64"/>
      <c r="G2" s="61"/>
    </row>
    <row r="3" spans="1:10" ht="15" thickBot="1" x14ac:dyDescent="0.4">
      <c r="A3" s="261"/>
      <c r="B3" s="261"/>
      <c r="C3" s="261"/>
      <c r="D3" s="261"/>
      <c r="E3" s="61"/>
      <c r="F3" s="64"/>
      <c r="G3" s="61"/>
    </row>
    <row r="4" spans="1:10" ht="26.5" thickBot="1" x14ac:dyDescent="0.4">
      <c r="A4" s="146" t="s">
        <v>300</v>
      </c>
      <c r="B4" s="147" t="s">
        <v>301</v>
      </c>
      <c r="C4" s="147" t="s">
        <v>302</v>
      </c>
      <c r="D4" s="147" t="s">
        <v>303</v>
      </c>
      <c r="E4" s="148" t="s">
        <v>304</v>
      </c>
      <c r="F4" s="64"/>
      <c r="G4" s="61"/>
    </row>
    <row r="5" spans="1:10" x14ac:dyDescent="0.35">
      <c r="A5" s="149" t="s">
        <v>17</v>
      </c>
      <c r="B5" s="87"/>
      <c r="C5" s="87"/>
      <c r="D5" s="144">
        <f>SUM(B5:C5)</f>
        <v>0</v>
      </c>
      <c r="E5" s="150" t="str">
        <f>IF(D5=0,"No Detection",G5)</f>
        <v>No Detection</v>
      </c>
      <c r="F5" s="64"/>
      <c r="G5" s="61" t="s">
        <v>341</v>
      </c>
    </row>
    <row r="6" spans="1:10" x14ac:dyDescent="0.35">
      <c r="A6" s="151" t="s">
        <v>11</v>
      </c>
      <c r="B6" s="87"/>
      <c r="C6" s="87"/>
      <c r="D6" s="144">
        <f t="shared" ref="D6:D39" si="0">SUM(B6:C6)</f>
        <v>0</v>
      </c>
      <c r="E6" s="150" t="str">
        <f t="shared" ref="E6:E39" si="1">IF(D6=0,"No Detection",G6)</f>
        <v>No Detection</v>
      </c>
      <c r="F6" s="64"/>
      <c r="G6" s="61" t="s">
        <v>341</v>
      </c>
    </row>
    <row r="7" spans="1:10" x14ac:dyDescent="0.35">
      <c r="A7" s="151" t="s">
        <v>720</v>
      </c>
      <c r="B7" s="87"/>
      <c r="C7" s="87"/>
      <c r="D7" s="144">
        <f t="shared" si="0"/>
        <v>0</v>
      </c>
      <c r="E7" s="150" t="str">
        <f t="shared" si="1"/>
        <v>No Detection</v>
      </c>
      <c r="F7" s="64"/>
      <c r="G7" s="61" t="s">
        <v>305</v>
      </c>
    </row>
    <row r="8" spans="1:10" x14ac:dyDescent="0.35">
      <c r="A8" s="151" t="s">
        <v>719</v>
      </c>
      <c r="B8" s="87"/>
      <c r="C8" s="87"/>
      <c r="D8" s="144">
        <f t="shared" si="0"/>
        <v>0</v>
      </c>
      <c r="E8" s="150" t="str">
        <f t="shared" si="1"/>
        <v>No Detection</v>
      </c>
      <c r="F8" s="64"/>
      <c r="G8" s="61" t="s">
        <v>341</v>
      </c>
    </row>
    <row r="9" spans="1:10" x14ac:dyDescent="0.35">
      <c r="A9" s="151" t="s">
        <v>306</v>
      </c>
      <c r="B9" s="87"/>
      <c r="C9" s="87"/>
      <c r="D9" s="144">
        <f t="shared" si="0"/>
        <v>0</v>
      </c>
      <c r="E9" s="150" t="str">
        <f t="shared" si="1"/>
        <v>No Detection</v>
      </c>
      <c r="F9" s="64"/>
      <c r="G9" s="61" t="s">
        <v>305</v>
      </c>
    </row>
    <row r="10" spans="1:10" x14ac:dyDescent="0.35">
      <c r="A10" s="152" t="s">
        <v>307</v>
      </c>
      <c r="B10" s="87"/>
      <c r="C10" s="87"/>
      <c r="D10" s="144">
        <f t="shared" si="0"/>
        <v>0</v>
      </c>
      <c r="E10" s="150" t="str">
        <f t="shared" si="1"/>
        <v>No Detection</v>
      </c>
      <c r="F10" s="64"/>
      <c r="G10" s="61" t="s">
        <v>308</v>
      </c>
    </row>
    <row r="11" spans="1:10" x14ac:dyDescent="0.35">
      <c r="A11" s="152" t="s">
        <v>23</v>
      </c>
      <c r="B11" s="87"/>
      <c r="C11" s="87"/>
      <c r="D11" s="144">
        <f t="shared" si="0"/>
        <v>0</v>
      </c>
      <c r="E11" s="150" t="str">
        <f>IF(D11=0,"No Detection",G11)</f>
        <v>No Detection</v>
      </c>
      <c r="F11" s="64"/>
      <c r="G11" s="61" t="s">
        <v>360</v>
      </c>
      <c r="H11" t="s">
        <v>358</v>
      </c>
    </row>
    <row r="12" spans="1:10" ht="26" x14ac:dyDescent="0.35">
      <c r="A12" s="153" t="s">
        <v>309</v>
      </c>
      <c r="B12" s="87">
        <v>5</v>
      </c>
      <c r="C12" s="87"/>
      <c r="D12" s="144">
        <f t="shared" si="0"/>
        <v>5</v>
      </c>
      <c r="E12" s="150" t="str">
        <f t="shared" si="1"/>
        <v>Most of the detection are ‘adware’ which were already removed and cleaned.</v>
      </c>
      <c r="F12" s="64"/>
      <c r="G12" s="61" t="s">
        <v>310</v>
      </c>
      <c r="H12" t="s">
        <v>342</v>
      </c>
    </row>
    <row r="13" spans="1:10" ht="39" x14ac:dyDescent="0.35">
      <c r="A13" s="153" t="s">
        <v>311</v>
      </c>
      <c r="B13" s="87">
        <v>15</v>
      </c>
      <c r="C13" s="87">
        <v>60</v>
      </c>
      <c r="D13" s="144">
        <f t="shared" si="0"/>
        <v>75</v>
      </c>
      <c r="E13" s="150" t="str">
        <f>IF(D13=0,"No Detection",G13)</f>
        <v>All Detection are non issue and other true positive was alert-deny action and also requested for blocked on our end.</v>
      </c>
      <c r="F13" s="64"/>
      <c r="G13" s="61" t="s">
        <v>1649</v>
      </c>
      <c r="H13" t="s">
        <v>345</v>
      </c>
      <c r="I13" t="s">
        <v>312</v>
      </c>
    </row>
    <row r="14" spans="1:10" ht="26" x14ac:dyDescent="0.35">
      <c r="A14" s="153" t="s">
        <v>313</v>
      </c>
      <c r="B14" s="87"/>
      <c r="C14" s="87">
        <v>3</v>
      </c>
      <c r="D14" s="144">
        <f t="shared" si="0"/>
        <v>3</v>
      </c>
      <c r="E14" s="150" t="str">
        <f t="shared" si="1"/>
        <v>The Detection are false positive</v>
      </c>
      <c r="F14" s="64"/>
      <c r="G14" s="61" t="s">
        <v>350</v>
      </c>
      <c r="H14" t="s">
        <v>349</v>
      </c>
      <c r="I14" t="s">
        <v>346</v>
      </c>
      <c r="J14" t="s">
        <v>359</v>
      </c>
    </row>
    <row r="15" spans="1:10" ht="26" x14ac:dyDescent="0.35">
      <c r="A15" s="153" t="s">
        <v>315</v>
      </c>
      <c r="B15" s="87"/>
      <c r="C15" s="87"/>
      <c r="D15" s="144">
        <f t="shared" si="0"/>
        <v>0</v>
      </c>
      <c r="E15" s="150" t="str">
        <f t="shared" si="1"/>
        <v>No Detection</v>
      </c>
      <c r="F15" s="64"/>
      <c r="G15" s="61" t="s">
        <v>347</v>
      </c>
    </row>
    <row r="16" spans="1:10" ht="26" x14ac:dyDescent="0.35">
      <c r="A16" s="153" t="s">
        <v>356</v>
      </c>
      <c r="B16" s="87"/>
      <c r="C16" s="87"/>
      <c r="D16" s="144">
        <f t="shared" si="0"/>
        <v>0</v>
      </c>
      <c r="E16" s="150" t="str">
        <f t="shared" ref="E16" si="2">IF(D16=0,"No Detection",G16)</f>
        <v>No Detection</v>
      </c>
      <c r="F16" s="64"/>
      <c r="G16" s="61" t="s">
        <v>357</v>
      </c>
    </row>
    <row r="17" spans="1:11" ht="26" x14ac:dyDescent="0.35">
      <c r="A17" s="153" t="s">
        <v>316</v>
      </c>
      <c r="B17" s="87"/>
      <c r="C17" s="87">
        <v>12</v>
      </c>
      <c r="D17" s="144">
        <f t="shared" si="0"/>
        <v>12</v>
      </c>
      <c r="E17" s="150" t="str">
        <f t="shared" si="1"/>
        <v>Non Issue : The trigger IP was dropped in firewall action and requested to blocked on firewall DR and primary site.</v>
      </c>
      <c r="F17" s="64"/>
      <c r="G17" s="61" t="s">
        <v>1647</v>
      </c>
      <c r="H17" t="s">
        <v>354</v>
      </c>
      <c r="I17" t="s">
        <v>353</v>
      </c>
      <c r="J17" t="s">
        <v>465</v>
      </c>
      <c r="K17" t="s">
        <v>629</v>
      </c>
    </row>
    <row r="18" spans="1:11" ht="26" x14ac:dyDescent="0.35">
      <c r="A18" s="153" t="s">
        <v>594</v>
      </c>
      <c r="B18" s="87"/>
      <c r="C18" s="87"/>
      <c r="D18" s="144">
        <f t="shared" si="0"/>
        <v>0</v>
      </c>
      <c r="E18" s="150" t="str">
        <f>IF(D18=0,"No Detection",G18)</f>
        <v>No Detection</v>
      </c>
      <c r="F18" s="64"/>
      <c r="G18" s="61" t="s">
        <v>602</v>
      </c>
    </row>
    <row r="19" spans="1:11" x14ac:dyDescent="0.35">
      <c r="A19" s="153" t="s">
        <v>708</v>
      </c>
      <c r="B19" s="87"/>
      <c r="C19" s="87"/>
      <c r="D19" s="144">
        <f t="shared" si="0"/>
        <v>0</v>
      </c>
      <c r="E19" s="150" t="str">
        <f>IF(D19=0,"No Detection",G19)</f>
        <v>No Detection</v>
      </c>
      <c r="F19" s="64"/>
      <c r="G19" s="61" t="s">
        <v>583</v>
      </c>
    </row>
    <row r="20" spans="1:11" x14ac:dyDescent="0.35">
      <c r="A20" s="153" t="s">
        <v>714</v>
      </c>
      <c r="B20" s="87"/>
      <c r="C20" s="87"/>
      <c r="D20" s="144">
        <f t="shared" ref="D20" si="3">SUM(B20:C20)</f>
        <v>0</v>
      </c>
      <c r="E20" s="150" t="str">
        <f>IF(D20=0,"No Detection",G20)</f>
        <v>No Detection</v>
      </c>
      <c r="F20" s="64"/>
      <c r="G20" s="61" t="s">
        <v>341</v>
      </c>
    </row>
    <row r="21" spans="1:11" ht="26" x14ac:dyDescent="0.35">
      <c r="A21" s="153" t="s">
        <v>858</v>
      </c>
      <c r="B21" s="87"/>
      <c r="C21" s="87"/>
      <c r="D21" s="144">
        <f t="shared" ref="D21" si="4">SUM(B21:C21)</f>
        <v>0</v>
      </c>
      <c r="E21" s="150" t="str">
        <f>IF(D21=0,"No Detection",G21)</f>
        <v>No Detection</v>
      </c>
      <c r="F21" s="64"/>
      <c r="G21" s="61" t="s">
        <v>800</v>
      </c>
    </row>
    <row r="22" spans="1:11" ht="26" x14ac:dyDescent="0.35">
      <c r="A22" s="153" t="s">
        <v>317</v>
      </c>
      <c r="B22" s="87"/>
      <c r="C22" s="87">
        <v>1</v>
      </c>
      <c r="D22" s="144">
        <f t="shared" si="0"/>
        <v>1</v>
      </c>
      <c r="E22" s="150" t="str">
        <f t="shared" si="1"/>
        <v>None issue, More alert are came from Telco IP's</v>
      </c>
      <c r="F22" s="64"/>
      <c r="G22" s="61" t="s">
        <v>318</v>
      </c>
      <c r="H22" t="s">
        <v>343</v>
      </c>
    </row>
    <row r="23" spans="1:11" x14ac:dyDescent="0.35">
      <c r="A23" s="153" t="s">
        <v>21</v>
      </c>
      <c r="B23" s="87"/>
      <c r="C23" s="87"/>
      <c r="D23" s="144">
        <f t="shared" si="0"/>
        <v>0</v>
      </c>
      <c r="E23" s="150" t="str">
        <f t="shared" si="1"/>
        <v>No Detection</v>
      </c>
      <c r="F23" s="64"/>
      <c r="G23" s="61" t="s">
        <v>584</v>
      </c>
    </row>
    <row r="24" spans="1:11" x14ac:dyDescent="0.35">
      <c r="A24" s="153" t="s">
        <v>319</v>
      </c>
      <c r="B24" s="87"/>
      <c r="C24" s="87"/>
      <c r="D24" s="144">
        <f t="shared" si="0"/>
        <v>0</v>
      </c>
      <c r="E24" s="150" t="str">
        <f t="shared" si="1"/>
        <v>No Detection</v>
      </c>
      <c r="F24" s="64"/>
      <c r="G24" s="61" t="s">
        <v>305</v>
      </c>
    </row>
    <row r="25" spans="1:11" x14ac:dyDescent="0.35">
      <c r="A25" s="153" t="s">
        <v>320</v>
      </c>
      <c r="B25" s="87"/>
      <c r="C25" s="87"/>
      <c r="D25" s="144">
        <f t="shared" si="0"/>
        <v>0</v>
      </c>
      <c r="E25" s="150" t="str">
        <f t="shared" si="1"/>
        <v>No Detection</v>
      </c>
      <c r="F25" s="64"/>
      <c r="G25" s="61" t="s">
        <v>305</v>
      </c>
    </row>
    <row r="26" spans="1:11" x14ac:dyDescent="0.35">
      <c r="A26" s="153" t="s">
        <v>855</v>
      </c>
      <c r="B26" s="87"/>
      <c r="C26" s="87"/>
      <c r="D26" s="144">
        <f t="shared" ref="D26" si="5">SUM(B26:C26)</f>
        <v>0</v>
      </c>
      <c r="E26" s="150" t="str">
        <f t="shared" ref="E26" si="6">IF(D26=0,"No Detection",G26)</f>
        <v>No Detection</v>
      </c>
      <c r="F26" s="64"/>
      <c r="G26" s="61" t="s">
        <v>856</v>
      </c>
    </row>
    <row r="27" spans="1:11" x14ac:dyDescent="0.35">
      <c r="A27" s="153" t="s">
        <v>321</v>
      </c>
      <c r="B27" s="87"/>
      <c r="C27" s="87"/>
      <c r="D27" s="144">
        <f t="shared" si="0"/>
        <v>0</v>
      </c>
      <c r="E27" s="150" t="str">
        <f t="shared" si="1"/>
        <v>No Detection</v>
      </c>
      <c r="F27" s="64"/>
      <c r="G27" s="61" t="s">
        <v>314</v>
      </c>
      <c r="H27" t="s">
        <v>322</v>
      </c>
    </row>
    <row r="28" spans="1:11" x14ac:dyDescent="0.35">
      <c r="A28" s="153" t="s">
        <v>20</v>
      </c>
      <c r="B28" s="87"/>
      <c r="C28" s="87"/>
      <c r="D28" s="144">
        <f t="shared" si="0"/>
        <v>0</v>
      </c>
      <c r="E28" s="150" t="str">
        <f>IF(D28=0,"No Detection",G28)</f>
        <v>No Detection</v>
      </c>
      <c r="F28" s="64"/>
      <c r="G28" s="61" t="s">
        <v>351</v>
      </c>
      <c r="H28" t="s">
        <v>344</v>
      </c>
      <c r="I28" t="s">
        <v>323</v>
      </c>
      <c r="J28" t="s">
        <v>351</v>
      </c>
    </row>
    <row r="29" spans="1:11" ht="26" x14ac:dyDescent="0.35">
      <c r="A29" s="153" t="s">
        <v>324</v>
      </c>
      <c r="B29" s="87"/>
      <c r="C29" s="87"/>
      <c r="D29" s="144">
        <f t="shared" si="0"/>
        <v>0</v>
      </c>
      <c r="E29" s="150" t="str">
        <f t="shared" si="1"/>
        <v>No Detection</v>
      </c>
      <c r="F29" s="64"/>
      <c r="G29" s="61" t="s">
        <v>583</v>
      </c>
    </row>
    <row r="30" spans="1:11" x14ac:dyDescent="0.35">
      <c r="A30" s="153" t="s">
        <v>61</v>
      </c>
      <c r="B30" s="87"/>
      <c r="C30" s="87"/>
      <c r="D30" s="144">
        <f t="shared" si="0"/>
        <v>0</v>
      </c>
      <c r="E30" s="150" t="str">
        <f t="shared" si="1"/>
        <v>No Detection</v>
      </c>
      <c r="F30" s="64"/>
      <c r="G30" s="61" t="s">
        <v>805</v>
      </c>
    </row>
    <row r="31" spans="1:11" ht="26" x14ac:dyDescent="0.35">
      <c r="A31" s="153" t="s">
        <v>269</v>
      </c>
      <c r="B31" s="87"/>
      <c r="C31" s="87"/>
      <c r="D31" s="144">
        <f t="shared" si="0"/>
        <v>0</v>
      </c>
      <c r="E31" s="150" t="str">
        <f t="shared" si="1"/>
        <v>No Detection</v>
      </c>
      <c r="F31" s="64"/>
      <c r="G31" s="61" t="s">
        <v>585</v>
      </c>
    </row>
    <row r="32" spans="1:11" ht="26" x14ac:dyDescent="0.35">
      <c r="A32" s="153" t="s">
        <v>325</v>
      </c>
      <c r="B32" s="87"/>
      <c r="C32" s="87"/>
      <c r="D32" s="144">
        <f t="shared" si="0"/>
        <v>0</v>
      </c>
      <c r="E32" s="150" t="str">
        <f t="shared" si="1"/>
        <v>No Detection</v>
      </c>
      <c r="F32" s="64"/>
      <c r="G32" s="61" t="s">
        <v>583</v>
      </c>
    </row>
    <row r="33" spans="1:9" x14ac:dyDescent="0.35">
      <c r="A33" s="153" t="s">
        <v>326</v>
      </c>
      <c r="B33" s="87"/>
      <c r="C33" s="218"/>
      <c r="D33" s="144">
        <f t="shared" si="0"/>
        <v>0</v>
      </c>
      <c r="E33" s="150" t="str">
        <f t="shared" si="1"/>
        <v>No Detection</v>
      </c>
      <c r="F33" s="64"/>
      <c r="G33" s="61" t="s">
        <v>627</v>
      </c>
      <c r="H33" t="s">
        <v>627</v>
      </c>
      <c r="I33" t="s">
        <v>626</v>
      </c>
    </row>
    <row r="34" spans="1:9" x14ac:dyDescent="0.35">
      <c r="A34" s="153" t="s">
        <v>209</v>
      </c>
      <c r="B34" s="87"/>
      <c r="C34" s="218"/>
      <c r="D34" s="144">
        <f t="shared" si="0"/>
        <v>0</v>
      </c>
      <c r="E34" s="150" t="str">
        <f t="shared" si="1"/>
        <v>No Detection</v>
      </c>
      <c r="F34" s="64"/>
      <c r="G34" s="61" t="s">
        <v>583</v>
      </c>
    </row>
    <row r="35" spans="1:9" x14ac:dyDescent="0.35">
      <c r="A35" s="153" t="s">
        <v>327</v>
      </c>
      <c r="B35" s="87"/>
      <c r="C35" s="218"/>
      <c r="D35" s="144">
        <f t="shared" si="0"/>
        <v>0</v>
      </c>
      <c r="E35" s="150" t="str">
        <f t="shared" si="1"/>
        <v>No Detection</v>
      </c>
      <c r="F35" s="64"/>
      <c r="G35" s="61" t="s">
        <v>583</v>
      </c>
    </row>
    <row r="36" spans="1:9" x14ac:dyDescent="0.35">
      <c r="A36" s="153" t="s">
        <v>328</v>
      </c>
      <c r="B36" s="87"/>
      <c r="C36" s="218"/>
      <c r="D36" s="144">
        <f t="shared" si="0"/>
        <v>0</v>
      </c>
      <c r="E36" s="150" t="str">
        <f t="shared" si="1"/>
        <v>No Detection</v>
      </c>
      <c r="F36" s="64"/>
      <c r="G36" s="61" t="s">
        <v>583</v>
      </c>
    </row>
    <row r="37" spans="1:9" x14ac:dyDescent="0.35">
      <c r="A37" s="153" t="s">
        <v>329</v>
      </c>
      <c r="B37" s="87"/>
      <c r="C37" s="219"/>
      <c r="D37" s="144">
        <f t="shared" si="0"/>
        <v>0</v>
      </c>
      <c r="E37" s="150" t="str">
        <f t="shared" si="1"/>
        <v>No Detection</v>
      </c>
      <c r="F37" s="64"/>
      <c r="G37" s="61" t="s">
        <v>352</v>
      </c>
    </row>
    <row r="38" spans="1:9" x14ac:dyDescent="0.35">
      <c r="A38" s="153" t="s">
        <v>834</v>
      </c>
      <c r="B38" s="87"/>
      <c r="C38" s="145"/>
      <c r="D38" s="144">
        <f t="shared" si="0"/>
        <v>0</v>
      </c>
      <c r="E38" s="150" t="str">
        <f t="shared" si="1"/>
        <v>No Detection</v>
      </c>
      <c r="F38" s="64"/>
      <c r="G38" s="61" t="s">
        <v>835</v>
      </c>
    </row>
    <row r="39" spans="1:9" ht="26" x14ac:dyDescent="0.35">
      <c r="A39" s="225" t="s">
        <v>18</v>
      </c>
      <c r="B39" s="87"/>
      <c r="C39" s="145">
        <v>3</v>
      </c>
      <c r="D39" s="144">
        <f t="shared" si="0"/>
        <v>3</v>
      </c>
      <c r="E39" s="150" t="str">
        <f t="shared" si="1"/>
        <v>Detection are trojan found and adware which are already file cleaned in the workstation via Apex one</v>
      </c>
      <c r="F39" s="64"/>
      <c r="G39" s="61" t="s">
        <v>330</v>
      </c>
      <c r="H39" t="s">
        <v>348</v>
      </c>
    </row>
    <row r="40" spans="1:9" ht="15" thickBot="1" x14ac:dyDescent="0.4">
      <c r="A40" s="154" t="s">
        <v>331</v>
      </c>
      <c r="B40" s="155">
        <f t="shared" ref="B40:D40" si="7">SUM(B5:B39)</f>
        <v>20</v>
      </c>
      <c r="C40" s="155">
        <f t="shared" si="7"/>
        <v>79</v>
      </c>
      <c r="D40" s="155">
        <f t="shared" si="7"/>
        <v>99</v>
      </c>
      <c r="E40" s="156"/>
      <c r="F40" s="64"/>
      <c r="G40" s="61"/>
    </row>
    <row r="44" spans="1:9" x14ac:dyDescent="0.35">
      <c r="A44" s="157" t="s">
        <v>332</v>
      </c>
      <c r="B44" s="64"/>
      <c r="C44" s="64"/>
      <c r="D44" s="64"/>
      <c r="E44" s="61"/>
      <c r="F44" s="64"/>
      <c r="G44" s="61"/>
    </row>
    <row r="45" spans="1:9" x14ac:dyDescent="0.35">
      <c r="A45" s="158" t="s">
        <v>333</v>
      </c>
      <c r="B45" s="158"/>
      <c r="C45" s="158"/>
      <c r="D45" s="158"/>
      <c r="E45" s="158"/>
      <c r="F45" s="158"/>
      <c r="G45" s="61"/>
    </row>
    <row r="46" spans="1:9" x14ac:dyDescent="0.35">
      <c r="A46" s="61"/>
      <c r="B46" s="64"/>
      <c r="C46" s="64"/>
      <c r="D46" s="64"/>
      <c r="E46" s="61"/>
      <c r="F46" s="64"/>
      <c r="G46" s="61"/>
    </row>
    <row r="47" spans="1:9" ht="15" thickBot="1" x14ac:dyDescent="0.4">
      <c r="A47" s="73"/>
      <c r="B47" s="66"/>
      <c r="C47" s="64"/>
      <c r="D47" s="64"/>
      <c r="E47" s="61"/>
      <c r="F47" s="64"/>
      <c r="G47" s="61"/>
    </row>
    <row r="48" spans="1:9" ht="15" thickBot="1" x14ac:dyDescent="0.4">
      <c r="A48" s="159" t="s">
        <v>334</v>
      </c>
      <c r="B48" s="64"/>
      <c r="C48" s="64"/>
      <c r="D48" s="64"/>
      <c r="E48" s="61"/>
      <c r="F48" s="64"/>
      <c r="G48" s="61"/>
    </row>
    <row r="49" spans="1:7" x14ac:dyDescent="0.35">
      <c r="A49" s="160" t="s">
        <v>335</v>
      </c>
      <c r="B49" s="161" t="s">
        <v>336</v>
      </c>
      <c r="C49" s="161" t="s">
        <v>337</v>
      </c>
      <c r="D49" s="161" t="s">
        <v>338</v>
      </c>
      <c r="E49" s="159" t="s">
        <v>182</v>
      </c>
      <c r="F49" s="161" t="s">
        <v>339</v>
      </c>
      <c r="G49" s="162" t="s">
        <v>340</v>
      </c>
    </row>
    <row r="50" spans="1:7" x14ac:dyDescent="0.35">
      <c r="A50" s="163"/>
      <c r="B50" s="164"/>
      <c r="C50" s="165"/>
      <c r="D50" s="164"/>
      <c r="E50" s="166"/>
      <c r="F50" s="167"/>
      <c r="G50" s="104"/>
    </row>
    <row r="51" spans="1:7" x14ac:dyDescent="0.35">
      <c r="A51" s="163"/>
      <c r="B51" s="164"/>
      <c r="C51" s="165"/>
      <c r="D51" s="165"/>
      <c r="E51" s="166"/>
      <c r="F51" s="167"/>
      <c r="G51" s="104"/>
    </row>
  </sheetData>
  <mergeCells count="2">
    <mergeCell ref="A2:E2"/>
    <mergeCell ref="A3:D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F909-8EA4-46E8-9D05-999D450020A6}">
  <sheetPr codeName="Sheet3"/>
  <dimension ref="A1:AC252"/>
  <sheetViews>
    <sheetView topLeftCell="G1" workbookViewId="0">
      <pane ySplit="1" topLeftCell="A19" activePane="bottomLeft" state="frozen"/>
      <selection activeCell="F1" sqref="F1"/>
      <selection pane="bottomLeft" activeCell="J33" sqref="J33"/>
    </sheetView>
  </sheetViews>
  <sheetFormatPr defaultRowHeight="14.5" x14ac:dyDescent="0.35"/>
  <cols>
    <col min="1" max="1" width="15.1796875" customWidth="1"/>
    <col min="2" max="2" width="7.90625" customWidth="1"/>
    <col min="3" max="3" width="7.26953125" customWidth="1"/>
    <col min="4" max="4" width="35.81640625" customWidth="1"/>
    <col min="5" max="5" width="32" customWidth="1"/>
    <col min="6" max="6" width="5.08984375" customWidth="1"/>
    <col min="7" max="7" width="18.54296875" customWidth="1"/>
    <col min="8" max="8" width="70.81640625" customWidth="1"/>
    <col min="9" max="9" width="5.6328125" customWidth="1"/>
    <col min="10" max="10" width="8.54296875" customWidth="1"/>
    <col min="11" max="11" width="12.7265625" customWidth="1"/>
    <col min="12" max="12" width="14.7265625" customWidth="1"/>
    <col min="15" max="15" width="23.7265625" bestFit="1" customWidth="1"/>
    <col min="19" max="19" width="17.6328125" style="174" customWidth="1"/>
    <col min="20" max="20" width="12.81640625" customWidth="1"/>
    <col min="27" max="27" width="24.90625" customWidth="1"/>
  </cols>
  <sheetData>
    <row r="1" spans="1:29" ht="15" thickBot="1" x14ac:dyDescent="0.4">
      <c r="A1" s="137" t="s">
        <v>24</v>
      </c>
      <c r="B1" s="137" t="s">
        <v>654</v>
      </c>
      <c r="C1" s="137" t="s">
        <v>659</v>
      </c>
      <c r="D1" s="137" t="s">
        <v>645</v>
      </c>
      <c r="E1" s="137" t="s">
        <v>631</v>
      </c>
      <c r="F1" s="196"/>
      <c r="G1" t="s">
        <v>11</v>
      </c>
      <c r="H1" t="s">
        <v>37</v>
      </c>
      <c r="J1" t="s">
        <v>27</v>
      </c>
      <c r="K1" t="s">
        <v>22</v>
      </c>
      <c r="L1" t="s">
        <v>28</v>
      </c>
      <c r="M1" t="s">
        <v>230</v>
      </c>
      <c r="S1" s="173" t="s">
        <v>361</v>
      </c>
      <c r="T1" s="172" t="s">
        <v>362</v>
      </c>
      <c r="U1" s="172" t="s">
        <v>445</v>
      </c>
      <c r="AA1" s="137" t="s">
        <v>928</v>
      </c>
      <c r="AB1" s="137" t="s">
        <v>1620</v>
      </c>
      <c r="AC1" s="137" t="s">
        <v>1620</v>
      </c>
    </row>
    <row r="2" spans="1:29" x14ac:dyDescent="0.35">
      <c r="A2" t="s">
        <v>920</v>
      </c>
      <c r="B2" t="s">
        <v>653</v>
      </c>
      <c r="C2" t="s">
        <v>921</v>
      </c>
      <c r="D2" s="215" t="s">
        <v>919</v>
      </c>
      <c r="E2" t="s">
        <v>809</v>
      </c>
      <c r="F2" t="s">
        <v>644</v>
      </c>
      <c r="G2" t="s">
        <v>11</v>
      </c>
      <c r="H2" t="s">
        <v>30</v>
      </c>
      <c r="J2" t="s">
        <v>14</v>
      </c>
      <c r="K2" t="s">
        <v>12</v>
      </c>
      <c r="L2" t="s">
        <v>31</v>
      </c>
      <c r="M2" s="2" t="s">
        <v>29</v>
      </c>
      <c r="S2" s="174" t="s">
        <v>200</v>
      </c>
      <c r="T2" t="s">
        <v>509</v>
      </c>
      <c r="U2" t="s">
        <v>524</v>
      </c>
      <c r="AA2" t="s">
        <v>934</v>
      </c>
      <c r="AB2" t="s">
        <v>935</v>
      </c>
      <c r="AC2" t="s">
        <v>936</v>
      </c>
    </row>
    <row r="3" spans="1:29" x14ac:dyDescent="0.35">
      <c r="A3" t="s">
        <v>633</v>
      </c>
      <c r="B3" t="s">
        <v>651</v>
      </c>
      <c r="C3" t="s">
        <v>647</v>
      </c>
      <c r="D3" t="s">
        <v>660</v>
      </c>
      <c r="E3" t="s">
        <v>632</v>
      </c>
      <c r="F3" t="s">
        <v>644</v>
      </c>
      <c r="G3" t="s">
        <v>11</v>
      </c>
      <c r="H3" t="s">
        <v>33</v>
      </c>
      <c r="J3" t="s">
        <v>10</v>
      </c>
      <c r="K3" t="s">
        <v>34</v>
      </c>
      <c r="L3" t="s">
        <v>35</v>
      </c>
      <c r="M3" s="2" t="s">
        <v>32</v>
      </c>
      <c r="S3" s="174" t="s">
        <v>200</v>
      </c>
      <c r="T3" t="s">
        <v>373</v>
      </c>
      <c r="U3" t="s">
        <v>434</v>
      </c>
      <c r="AA3" t="s">
        <v>937</v>
      </c>
      <c r="AB3" t="s">
        <v>938</v>
      </c>
      <c r="AC3" t="s">
        <v>939</v>
      </c>
    </row>
    <row r="4" spans="1:29" x14ac:dyDescent="0.35">
      <c r="A4" t="s">
        <v>917</v>
      </c>
      <c r="B4" t="s">
        <v>651</v>
      </c>
      <c r="C4" t="s">
        <v>918</v>
      </c>
      <c r="D4" s="215" t="s">
        <v>916</v>
      </c>
      <c r="E4" t="s">
        <v>632</v>
      </c>
      <c r="F4" t="s">
        <v>644</v>
      </c>
      <c r="G4" t="s">
        <v>11</v>
      </c>
      <c r="H4" t="s">
        <v>26</v>
      </c>
      <c r="J4" t="s">
        <v>16</v>
      </c>
      <c r="K4" t="s">
        <v>38</v>
      </c>
      <c r="L4" t="s">
        <v>39</v>
      </c>
      <c r="M4" s="2" t="s">
        <v>36</v>
      </c>
      <c r="O4" t="s">
        <v>213</v>
      </c>
      <c r="P4" s="44" t="s">
        <v>216</v>
      </c>
      <c r="S4" s="174" t="s">
        <v>494</v>
      </c>
      <c r="T4" t="s">
        <v>470</v>
      </c>
      <c r="U4" t="s">
        <v>483</v>
      </c>
      <c r="AA4" t="s">
        <v>940</v>
      </c>
      <c r="AB4" t="s">
        <v>941</v>
      </c>
      <c r="AC4" t="s">
        <v>942</v>
      </c>
    </row>
    <row r="5" spans="1:29" x14ac:dyDescent="0.35">
      <c r="A5" t="s">
        <v>634</v>
      </c>
      <c r="B5" t="s">
        <v>652</v>
      </c>
      <c r="C5" t="s">
        <v>648</v>
      </c>
      <c r="D5" t="s">
        <v>662</v>
      </c>
      <c r="E5" t="s">
        <v>632</v>
      </c>
      <c r="F5" t="s">
        <v>644</v>
      </c>
      <c r="G5" t="s">
        <v>17</v>
      </c>
      <c r="H5" t="s">
        <v>42</v>
      </c>
      <c r="L5" t="s">
        <v>43</v>
      </c>
      <c r="M5" s="2" t="s">
        <v>40</v>
      </c>
      <c r="O5" t="s">
        <v>214</v>
      </c>
      <c r="P5" s="258" t="s">
        <v>218</v>
      </c>
      <c r="S5" s="174" t="s">
        <v>505</v>
      </c>
      <c r="T5" t="s">
        <v>481</v>
      </c>
      <c r="U5" t="s">
        <v>488</v>
      </c>
      <c r="AA5" t="s">
        <v>943</v>
      </c>
      <c r="AB5" t="s">
        <v>944</v>
      </c>
      <c r="AC5" t="s">
        <v>945</v>
      </c>
    </row>
    <row r="6" spans="1:29" x14ac:dyDescent="0.35">
      <c r="A6" t="s">
        <v>635</v>
      </c>
      <c r="B6" t="s">
        <v>652</v>
      </c>
      <c r="C6" t="s">
        <v>658</v>
      </c>
      <c r="D6" t="s">
        <v>663</v>
      </c>
      <c r="E6" t="s">
        <v>632</v>
      </c>
      <c r="F6" t="s">
        <v>644</v>
      </c>
      <c r="G6" t="s">
        <v>17</v>
      </c>
      <c r="H6" t="s">
        <v>45</v>
      </c>
      <c r="L6" t="s">
        <v>46</v>
      </c>
      <c r="M6" s="2" t="s">
        <v>44</v>
      </c>
      <c r="O6" t="s">
        <v>215</v>
      </c>
      <c r="P6" s="258" t="s">
        <v>217</v>
      </c>
      <c r="S6" s="174" t="s">
        <v>504</v>
      </c>
      <c r="T6" t="s">
        <v>480</v>
      </c>
      <c r="U6" t="s">
        <v>487</v>
      </c>
      <c r="AA6" t="s">
        <v>946</v>
      </c>
      <c r="AB6" t="s">
        <v>947</v>
      </c>
      <c r="AC6" t="s">
        <v>948</v>
      </c>
    </row>
    <row r="7" spans="1:29" x14ac:dyDescent="0.35">
      <c r="A7" t="s">
        <v>649</v>
      </c>
      <c r="B7" t="s">
        <v>652</v>
      </c>
      <c r="C7" t="s">
        <v>650</v>
      </c>
      <c r="D7" t="s">
        <v>664</v>
      </c>
      <c r="E7" t="s">
        <v>632</v>
      </c>
      <c r="F7" t="s">
        <v>644</v>
      </c>
      <c r="G7" t="s">
        <v>17</v>
      </c>
      <c r="H7" t="s">
        <v>48</v>
      </c>
      <c r="L7" t="s">
        <v>49</v>
      </c>
      <c r="M7" s="2" t="s">
        <v>47</v>
      </c>
      <c r="P7" s="44"/>
      <c r="S7" s="174" t="s">
        <v>420</v>
      </c>
      <c r="T7" t="s">
        <v>450</v>
      </c>
      <c r="U7" t="s">
        <v>455</v>
      </c>
      <c r="AA7" t="s">
        <v>949</v>
      </c>
      <c r="AB7" t="s">
        <v>950</v>
      </c>
      <c r="AC7" t="s">
        <v>951</v>
      </c>
    </row>
    <row r="8" spans="1:29" x14ac:dyDescent="0.35">
      <c r="A8" t="s">
        <v>807</v>
      </c>
      <c r="B8" t="s">
        <v>652</v>
      </c>
      <c r="C8" t="s">
        <v>806</v>
      </c>
      <c r="D8" s="215" t="s">
        <v>808</v>
      </c>
      <c r="E8" t="s">
        <v>632</v>
      </c>
      <c r="F8" t="s">
        <v>644</v>
      </c>
      <c r="G8" t="s">
        <v>17</v>
      </c>
      <c r="H8" t="s">
        <v>30</v>
      </c>
      <c r="J8" t="s">
        <v>11</v>
      </c>
      <c r="L8" t="s">
        <v>51</v>
      </c>
      <c r="M8" s="2" t="s">
        <v>50</v>
      </c>
      <c r="P8" s="44"/>
      <c r="S8" s="174" t="s">
        <v>168</v>
      </c>
      <c r="T8" t="s">
        <v>371</v>
      </c>
      <c r="U8" t="s">
        <v>453</v>
      </c>
      <c r="AA8" t="s">
        <v>952</v>
      </c>
      <c r="AB8" t="s">
        <v>953</v>
      </c>
      <c r="AC8" t="s">
        <v>954</v>
      </c>
    </row>
    <row r="9" spans="1:29" x14ac:dyDescent="0.35">
      <c r="A9" s="139" t="s">
        <v>836</v>
      </c>
      <c r="B9" t="s">
        <v>653</v>
      </c>
      <c r="C9" t="s">
        <v>837</v>
      </c>
      <c r="D9" s="143" t="s">
        <v>838</v>
      </c>
      <c r="E9" s="143" t="s">
        <v>689</v>
      </c>
      <c r="F9" t="s">
        <v>644</v>
      </c>
      <c r="G9" t="s">
        <v>719</v>
      </c>
      <c r="H9" t="s">
        <v>150</v>
      </c>
      <c r="J9" t="s">
        <v>17</v>
      </c>
      <c r="L9" t="s">
        <v>54</v>
      </c>
      <c r="M9" s="2" t="s">
        <v>52</v>
      </c>
      <c r="P9" s="44"/>
      <c r="S9" s="174" t="s">
        <v>538</v>
      </c>
      <c r="T9" t="s">
        <v>510</v>
      </c>
      <c r="U9" t="s">
        <v>525</v>
      </c>
      <c r="AA9" t="s">
        <v>955</v>
      </c>
      <c r="AB9" t="s">
        <v>956</v>
      </c>
      <c r="AC9" t="s">
        <v>957</v>
      </c>
    </row>
    <row r="10" spans="1:29" x14ac:dyDescent="0.35">
      <c r="A10" s="139" t="s">
        <v>684</v>
      </c>
      <c r="B10" t="s">
        <v>682</v>
      </c>
      <c r="C10" t="s">
        <v>683</v>
      </c>
      <c r="D10" s="143" t="s">
        <v>681</v>
      </c>
      <c r="E10" s="143" t="s">
        <v>685</v>
      </c>
      <c r="F10" t="s">
        <v>644</v>
      </c>
      <c r="G10" t="s">
        <v>719</v>
      </c>
      <c r="J10" t="s">
        <v>719</v>
      </c>
      <c r="L10" t="s">
        <v>56</v>
      </c>
      <c r="M10" s="3" t="s">
        <v>228</v>
      </c>
      <c r="O10" s="137" t="s">
        <v>852</v>
      </c>
      <c r="P10" s="44">
        <v>0</v>
      </c>
      <c r="S10" s="174" t="s">
        <v>535</v>
      </c>
      <c r="T10" t="s">
        <v>506</v>
      </c>
      <c r="U10" t="s">
        <v>523</v>
      </c>
      <c r="AA10" t="s">
        <v>958</v>
      </c>
      <c r="AB10" t="s">
        <v>959</v>
      </c>
      <c r="AC10" t="s">
        <v>960</v>
      </c>
    </row>
    <row r="11" spans="1:29" x14ac:dyDescent="0.35">
      <c r="A11" t="s">
        <v>903</v>
      </c>
      <c r="B11" t="s">
        <v>651</v>
      </c>
      <c r="C11" t="s">
        <v>902</v>
      </c>
      <c r="D11" s="215" t="s">
        <v>901</v>
      </c>
      <c r="E11" s="143" t="s">
        <v>668</v>
      </c>
      <c r="F11" t="s">
        <v>644</v>
      </c>
      <c r="G11" t="s">
        <v>15</v>
      </c>
      <c r="H11" t="s">
        <v>204</v>
      </c>
      <c r="J11" t="s">
        <v>23</v>
      </c>
      <c r="M11" s="3" t="s">
        <v>229</v>
      </c>
      <c r="O11" s="137" t="s">
        <v>1700</v>
      </c>
      <c r="P11" s="259">
        <v>6</v>
      </c>
      <c r="S11" s="174" t="s">
        <v>414</v>
      </c>
      <c r="T11" t="s">
        <v>384</v>
      </c>
      <c r="U11" t="s">
        <v>441</v>
      </c>
      <c r="AA11" t="s">
        <v>961</v>
      </c>
      <c r="AB11" t="s">
        <v>962</v>
      </c>
      <c r="AC11" t="s">
        <v>963</v>
      </c>
    </row>
    <row r="12" spans="1:29" x14ac:dyDescent="0.35">
      <c r="A12" t="s">
        <v>1653</v>
      </c>
      <c r="B12" t="s">
        <v>651</v>
      </c>
      <c r="C12" t="s">
        <v>1652</v>
      </c>
      <c r="D12" s="216" t="s">
        <v>1654</v>
      </c>
      <c r="E12" s="143" t="s">
        <v>668</v>
      </c>
      <c r="F12" t="s">
        <v>644</v>
      </c>
      <c r="G12" t="s">
        <v>15</v>
      </c>
      <c r="H12" t="s">
        <v>53</v>
      </c>
      <c r="J12" t="s">
        <v>222</v>
      </c>
      <c r="M12" s="2" t="s">
        <v>55</v>
      </c>
      <c r="O12" s="137" t="s">
        <v>1701</v>
      </c>
      <c r="P12" s="44" t="s">
        <v>1710</v>
      </c>
      <c r="S12" s="174" t="s">
        <v>410</v>
      </c>
      <c r="T12" t="s">
        <v>518</v>
      </c>
      <c r="U12" t="s">
        <v>532</v>
      </c>
      <c r="AA12" t="s">
        <v>964</v>
      </c>
      <c r="AB12" t="s">
        <v>965</v>
      </c>
      <c r="AC12" t="s">
        <v>802</v>
      </c>
    </row>
    <row r="13" spans="1:29" ht="15.5" customHeight="1" x14ac:dyDescent="0.35">
      <c r="A13" t="s">
        <v>638</v>
      </c>
      <c r="B13" t="s">
        <v>652</v>
      </c>
      <c r="C13" t="s">
        <v>656</v>
      </c>
      <c r="D13" s="143" t="s">
        <v>670</v>
      </c>
      <c r="E13" s="143" t="s">
        <v>668</v>
      </c>
      <c r="F13" t="s">
        <v>644</v>
      </c>
      <c r="G13" t="s">
        <v>20</v>
      </c>
      <c r="H13" t="s">
        <v>150</v>
      </c>
      <c r="J13" t="s">
        <v>223</v>
      </c>
      <c r="M13" s="2" t="s">
        <v>57</v>
      </c>
      <c r="O13" s="137" t="s">
        <v>1702</v>
      </c>
      <c r="P13" s="44">
        <v>5</v>
      </c>
      <c r="S13" s="174" t="s">
        <v>410</v>
      </c>
      <c r="T13" t="s">
        <v>381</v>
      </c>
      <c r="U13" t="s">
        <v>460</v>
      </c>
      <c r="AA13" t="s">
        <v>966</v>
      </c>
      <c r="AB13" t="s">
        <v>967</v>
      </c>
      <c r="AC13" t="s">
        <v>968</v>
      </c>
    </row>
    <row r="14" spans="1:29" ht="13" customHeight="1" x14ac:dyDescent="0.35">
      <c r="A14" t="s">
        <v>641</v>
      </c>
      <c r="B14" t="s">
        <v>651</v>
      </c>
      <c r="C14" t="s">
        <v>646</v>
      </c>
      <c r="D14" s="143" t="s">
        <v>661</v>
      </c>
      <c r="E14" s="143" t="s">
        <v>668</v>
      </c>
      <c r="F14" t="s">
        <v>644</v>
      </c>
      <c r="G14" t="s">
        <v>20</v>
      </c>
      <c r="H14" t="s">
        <v>833</v>
      </c>
      <c r="J14" t="s">
        <v>855</v>
      </c>
      <c r="M14" s="2" t="s">
        <v>58</v>
      </c>
      <c r="P14" s="44"/>
      <c r="S14" s="174" t="s">
        <v>401</v>
      </c>
      <c r="T14" t="s">
        <v>365</v>
      </c>
      <c r="U14" t="s">
        <v>430</v>
      </c>
      <c r="AA14" t="s">
        <v>969</v>
      </c>
      <c r="AB14" t="s">
        <v>970</v>
      </c>
      <c r="AC14" t="s">
        <v>971</v>
      </c>
    </row>
    <row r="15" spans="1:29" ht="16" customHeight="1" x14ac:dyDescent="0.35">
      <c r="A15" s="139" t="s">
        <v>642</v>
      </c>
      <c r="B15" t="s">
        <v>653</v>
      </c>
      <c r="C15" t="s">
        <v>657</v>
      </c>
      <c r="D15" s="143" t="s">
        <v>669</v>
      </c>
      <c r="E15" s="143" t="s">
        <v>1655</v>
      </c>
      <c r="F15" t="s">
        <v>644</v>
      </c>
      <c r="G15" t="s">
        <v>20</v>
      </c>
      <c r="H15" t="s">
        <v>701</v>
      </c>
      <c r="J15" t="s">
        <v>20</v>
      </c>
      <c r="M15" s="2" t="s">
        <v>60</v>
      </c>
      <c r="S15" s="174" t="s">
        <v>542</v>
      </c>
      <c r="T15" t="s">
        <v>515</v>
      </c>
      <c r="U15" t="s">
        <v>438</v>
      </c>
      <c r="AA15" t="s">
        <v>972</v>
      </c>
      <c r="AB15" t="s">
        <v>973</v>
      </c>
      <c r="AC15" t="s">
        <v>974</v>
      </c>
    </row>
    <row r="16" spans="1:29" x14ac:dyDescent="0.35">
      <c r="A16" t="s">
        <v>636</v>
      </c>
      <c r="B16" t="s">
        <v>651</v>
      </c>
      <c r="C16" t="s">
        <v>678</v>
      </c>
      <c r="D16" t="s">
        <v>677</v>
      </c>
      <c r="E16" s="143" t="s">
        <v>1656</v>
      </c>
      <c r="F16" t="s">
        <v>644</v>
      </c>
      <c r="G16" t="s">
        <v>23</v>
      </c>
      <c r="H16" s="224" t="s">
        <v>1665</v>
      </c>
      <c r="J16" t="s">
        <v>59</v>
      </c>
      <c r="M16" s="2" t="s">
        <v>62</v>
      </c>
      <c r="S16" s="174" t="s">
        <v>540</v>
      </c>
      <c r="T16" t="s">
        <v>513</v>
      </c>
      <c r="U16" t="s">
        <v>528</v>
      </c>
      <c r="AA16" t="s">
        <v>975</v>
      </c>
      <c r="AB16" t="s">
        <v>976</v>
      </c>
      <c r="AC16" t="s">
        <v>977</v>
      </c>
    </row>
    <row r="17" spans="1:29" x14ac:dyDescent="0.35">
      <c r="A17" t="s">
        <v>716</v>
      </c>
      <c r="B17" t="s">
        <v>651</v>
      </c>
      <c r="C17" t="s">
        <v>717</v>
      </c>
      <c r="D17" t="s">
        <v>718</v>
      </c>
      <c r="E17" s="143" t="s">
        <v>1656</v>
      </c>
      <c r="F17" t="s">
        <v>644</v>
      </c>
      <c r="G17" t="s">
        <v>23</v>
      </c>
      <c r="H17" t="s">
        <v>150</v>
      </c>
      <c r="J17" t="s">
        <v>61</v>
      </c>
      <c r="M17" s="2" t="s">
        <v>63</v>
      </c>
      <c r="S17" s="174" t="s">
        <v>399</v>
      </c>
      <c r="T17" t="s">
        <v>451</v>
      </c>
      <c r="U17" t="s">
        <v>428</v>
      </c>
      <c r="AA17" t="s">
        <v>1621</v>
      </c>
      <c r="AB17" t="s">
        <v>978</v>
      </c>
      <c r="AC17" t="s">
        <v>979</v>
      </c>
    </row>
    <row r="18" spans="1:29" x14ac:dyDescent="0.35">
      <c r="A18" t="s">
        <v>637</v>
      </c>
      <c r="B18" t="s">
        <v>651</v>
      </c>
      <c r="C18" t="s">
        <v>680</v>
      </c>
      <c r="D18" t="s">
        <v>679</v>
      </c>
      <c r="E18" s="143" t="s">
        <v>1656</v>
      </c>
      <c r="F18" t="s">
        <v>644</v>
      </c>
      <c r="G18" t="s">
        <v>607</v>
      </c>
      <c r="H18" t="s">
        <v>702</v>
      </c>
      <c r="J18" t="s">
        <v>269</v>
      </c>
      <c r="M18" s="2" t="s">
        <v>64</v>
      </c>
      <c r="S18" s="174" t="s">
        <v>400</v>
      </c>
      <c r="T18" t="s">
        <v>364</v>
      </c>
      <c r="U18" t="s">
        <v>436</v>
      </c>
      <c r="AA18" t="s">
        <v>980</v>
      </c>
      <c r="AB18" t="s">
        <v>981</v>
      </c>
      <c r="AC18" t="s">
        <v>982</v>
      </c>
    </row>
    <row r="19" spans="1:29" x14ac:dyDescent="0.35">
      <c r="A19" t="s">
        <v>693</v>
      </c>
      <c r="B19" t="s">
        <v>651</v>
      </c>
      <c r="C19" t="s">
        <v>694</v>
      </c>
      <c r="D19" t="s">
        <v>692</v>
      </c>
      <c r="E19" s="143" t="s">
        <v>1656</v>
      </c>
      <c r="F19" t="s">
        <v>644</v>
      </c>
      <c r="G19" t="s">
        <v>607</v>
      </c>
      <c r="H19" t="s">
        <v>703</v>
      </c>
      <c r="J19" t="s">
        <v>15</v>
      </c>
      <c r="M19" s="2" t="s">
        <v>65</v>
      </c>
      <c r="S19" s="174" t="s">
        <v>491</v>
      </c>
      <c r="T19" t="s">
        <v>41</v>
      </c>
      <c r="U19" t="s">
        <v>484</v>
      </c>
      <c r="AA19" t="s">
        <v>983</v>
      </c>
      <c r="AB19" t="s">
        <v>984</v>
      </c>
      <c r="AC19" t="s">
        <v>985</v>
      </c>
    </row>
    <row r="20" spans="1:29" x14ac:dyDescent="0.35">
      <c r="A20" s="139" t="s">
        <v>688</v>
      </c>
      <c r="B20" t="s">
        <v>653</v>
      </c>
      <c r="C20" t="s">
        <v>687</v>
      </c>
      <c r="D20" t="s">
        <v>686</v>
      </c>
      <c r="E20" s="143" t="s">
        <v>689</v>
      </c>
      <c r="F20" t="s">
        <v>644</v>
      </c>
      <c r="G20" t="s">
        <v>21</v>
      </c>
      <c r="H20" t="s">
        <v>709</v>
      </c>
      <c r="J20" t="s">
        <v>21</v>
      </c>
      <c r="M20" s="2" t="s">
        <v>66</v>
      </c>
      <c r="S20" s="174" t="s">
        <v>408</v>
      </c>
      <c r="T20" t="s">
        <v>378</v>
      </c>
      <c r="U20" t="s">
        <v>439</v>
      </c>
      <c r="AA20" t="s">
        <v>986</v>
      </c>
      <c r="AB20" t="s">
        <v>987</v>
      </c>
      <c r="AC20" t="s">
        <v>988</v>
      </c>
    </row>
    <row r="21" spans="1:29" x14ac:dyDescent="0.35">
      <c r="A21" t="s">
        <v>905</v>
      </c>
      <c r="B21" t="s">
        <v>651</v>
      </c>
      <c r="C21" t="s">
        <v>906</v>
      </c>
      <c r="D21" s="216" t="s">
        <v>904</v>
      </c>
      <c r="E21" s="143" t="s">
        <v>667</v>
      </c>
      <c r="F21" t="s">
        <v>644</v>
      </c>
      <c r="G21" t="s">
        <v>18</v>
      </c>
      <c r="H21" t="s">
        <v>712</v>
      </c>
      <c r="J21" t="s">
        <v>209</v>
      </c>
      <c r="M21" s="2" t="s">
        <v>67</v>
      </c>
      <c r="S21" s="174" t="s">
        <v>404</v>
      </c>
      <c r="T21" t="s">
        <v>374</v>
      </c>
      <c r="U21" t="s">
        <v>432</v>
      </c>
      <c r="AA21" t="s">
        <v>989</v>
      </c>
      <c r="AB21" t="s">
        <v>990</v>
      </c>
      <c r="AC21" t="s">
        <v>991</v>
      </c>
    </row>
    <row r="22" spans="1:29" x14ac:dyDescent="0.35">
      <c r="A22" t="s">
        <v>639</v>
      </c>
      <c r="B22" t="s">
        <v>651</v>
      </c>
      <c r="C22" t="s">
        <v>672</v>
      </c>
      <c r="D22" s="143" t="s">
        <v>671</v>
      </c>
      <c r="E22" s="143" t="s">
        <v>667</v>
      </c>
      <c r="F22" t="s">
        <v>644</v>
      </c>
      <c r="G22" t="s">
        <v>18</v>
      </c>
      <c r="H22" t="s">
        <v>146</v>
      </c>
      <c r="J22" t="s">
        <v>1703</v>
      </c>
      <c r="M22" s="2" t="s">
        <v>68</v>
      </c>
      <c r="S22" s="174" t="s">
        <v>492</v>
      </c>
      <c r="T22" t="s">
        <v>469</v>
      </c>
      <c r="U22" t="s">
        <v>482</v>
      </c>
      <c r="AA22" t="s">
        <v>992</v>
      </c>
      <c r="AB22" t="s">
        <v>993</v>
      </c>
      <c r="AC22" t="s">
        <v>994</v>
      </c>
    </row>
    <row r="23" spans="1:29" x14ac:dyDescent="0.35">
      <c r="A23" t="s">
        <v>643</v>
      </c>
      <c r="B23" t="s">
        <v>651</v>
      </c>
      <c r="C23" t="s">
        <v>674</v>
      </c>
      <c r="D23" s="143" t="s">
        <v>673</v>
      </c>
      <c r="E23" s="143" t="s">
        <v>667</v>
      </c>
      <c r="F23" t="s">
        <v>644</v>
      </c>
      <c r="G23" t="s">
        <v>59</v>
      </c>
      <c r="H23" t="s">
        <v>1666</v>
      </c>
      <c r="J23" t="s">
        <v>18</v>
      </c>
      <c r="M23" s="2" t="s">
        <v>69</v>
      </c>
      <c r="S23" s="174" t="s">
        <v>495</v>
      </c>
      <c r="T23" t="s">
        <v>471</v>
      </c>
      <c r="U23" t="s">
        <v>484</v>
      </c>
      <c r="AA23" t="s">
        <v>995</v>
      </c>
      <c r="AB23" t="s">
        <v>996</v>
      </c>
      <c r="AC23" t="s">
        <v>997</v>
      </c>
    </row>
    <row r="24" spans="1:29" x14ac:dyDescent="0.35">
      <c r="A24" t="s">
        <v>640</v>
      </c>
      <c r="B24" t="s">
        <v>651</v>
      </c>
      <c r="C24" t="s">
        <v>675</v>
      </c>
      <c r="D24" s="143" t="s">
        <v>676</v>
      </c>
      <c r="E24" s="143" t="s">
        <v>667</v>
      </c>
      <c r="F24" t="s">
        <v>644</v>
      </c>
      <c r="G24" t="s">
        <v>61</v>
      </c>
      <c r="H24" t="s">
        <v>150</v>
      </c>
      <c r="J24" t="s">
        <v>607</v>
      </c>
      <c r="M24" s="2" t="s">
        <v>70</v>
      </c>
      <c r="S24" s="174" t="s">
        <v>421</v>
      </c>
      <c r="T24" t="s">
        <v>396</v>
      </c>
      <c r="U24" t="s">
        <v>444</v>
      </c>
      <c r="AA24" t="s">
        <v>998</v>
      </c>
      <c r="AB24" t="s">
        <v>999</v>
      </c>
      <c r="AC24" t="s">
        <v>1000</v>
      </c>
    </row>
    <row r="25" spans="1:29" x14ac:dyDescent="0.35">
      <c r="A25" t="s">
        <v>900</v>
      </c>
      <c r="B25" t="s">
        <v>652</v>
      </c>
      <c r="C25" t="s">
        <v>898</v>
      </c>
      <c r="D25" s="216" t="s">
        <v>899</v>
      </c>
      <c r="E25" s="143" t="s">
        <v>667</v>
      </c>
      <c r="F25" t="s">
        <v>644</v>
      </c>
      <c r="G25" t="s">
        <v>269</v>
      </c>
      <c r="H25" t="s">
        <v>150</v>
      </c>
      <c r="J25" t="s">
        <v>713</v>
      </c>
      <c r="M25" s="2" t="s">
        <v>71</v>
      </c>
      <c r="S25" s="174" t="s">
        <v>426</v>
      </c>
      <c r="T25" t="s">
        <v>447</v>
      </c>
      <c r="U25" t="s">
        <v>452</v>
      </c>
      <c r="AA25" t="s">
        <v>1001</v>
      </c>
      <c r="AB25" t="s">
        <v>1002</v>
      </c>
      <c r="AC25" t="s">
        <v>1003</v>
      </c>
    </row>
    <row r="26" spans="1:29" x14ac:dyDescent="0.35">
      <c r="A26" t="s">
        <v>1658</v>
      </c>
      <c r="B26" t="s">
        <v>651</v>
      </c>
      <c r="C26" t="s">
        <v>1659</v>
      </c>
      <c r="D26" s="251" t="s">
        <v>1657</v>
      </c>
      <c r="E26" s="143" t="s">
        <v>667</v>
      </c>
      <c r="F26" t="s">
        <v>644</v>
      </c>
      <c r="G26" t="s">
        <v>592</v>
      </c>
      <c r="H26" t="s">
        <v>150</v>
      </c>
      <c r="J26" t="s">
        <v>804</v>
      </c>
      <c r="M26" s="2" t="s">
        <v>72</v>
      </c>
      <c r="S26" s="174" t="s">
        <v>227</v>
      </c>
      <c r="T26" t="s">
        <v>367</v>
      </c>
      <c r="U26" t="s">
        <v>436</v>
      </c>
      <c r="AA26" t="s">
        <v>1004</v>
      </c>
      <c r="AB26" t="s">
        <v>1005</v>
      </c>
      <c r="AC26" t="s">
        <v>1006</v>
      </c>
    </row>
    <row r="27" spans="1:29" x14ac:dyDescent="0.35">
      <c r="A27" s="139" t="s">
        <v>801</v>
      </c>
      <c r="B27" t="s">
        <v>653</v>
      </c>
      <c r="C27" t="s">
        <v>802</v>
      </c>
      <c r="D27" s="215" t="s">
        <v>803</v>
      </c>
      <c r="E27" s="143" t="s">
        <v>666</v>
      </c>
      <c r="F27" t="s">
        <v>644</v>
      </c>
      <c r="G27" t="s">
        <v>625</v>
      </c>
      <c r="H27" t="s">
        <v>150</v>
      </c>
      <c r="J27" t="s">
        <v>885</v>
      </c>
      <c r="M27" s="2" t="s">
        <v>73</v>
      </c>
      <c r="S27" s="174" t="s">
        <v>406</v>
      </c>
      <c r="T27" t="s">
        <v>377</v>
      </c>
      <c r="U27" t="s">
        <v>438</v>
      </c>
      <c r="AA27" t="s">
        <v>1007</v>
      </c>
      <c r="AB27" t="s">
        <v>1008</v>
      </c>
      <c r="AC27" t="s">
        <v>1009</v>
      </c>
    </row>
    <row r="28" spans="1:29" x14ac:dyDescent="0.35">
      <c r="A28" t="s">
        <v>1660</v>
      </c>
      <c r="B28" t="s">
        <v>651</v>
      </c>
      <c r="C28" t="s">
        <v>1662</v>
      </c>
      <c r="D28" s="215" t="s">
        <v>887</v>
      </c>
      <c r="E28" s="143" t="s">
        <v>1664</v>
      </c>
      <c r="F28" t="s">
        <v>644</v>
      </c>
      <c r="G28" t="s">
        <v>818</v>
      </c>
      <c r="J28" t="s">
        <v>224</v>
      </c>
      <c r="M28" s="2" t="s">
        <v>74</v>
      </c>
      <c r="S28" s="174" t="s">
        <v>418</v>
      </c>
      <c r="T28" t="s">
        <v>388</v>
      </c>
      <c r="U28" t="s">
        <v>459</v>
      </c>
      <c r="AA28" t="s">
        <v>1010</v>
      </c>
      <c r="AB28" t="s">
        <v>1011</v>
      </c>
      <c r="AC28" t="s">
        <v>1012</v>
      </c>
    </row>
    <row r="29" spans="1:29" x14ac:dyDescent="0.35">
      <c r="A29" t="s">
        <v>1661</v>
      </c>
      <c r="B29" t="s">
        <v>651</v>
      </c>
      <c r="C29" t="s">
        <v>1663</v>
      </c>
      <c r="D29" s="215" t="s">
        <v>888</v>
      </c>
      <c r="E29" s="143" t="s">
        <v>1664</v>
      </c>
      <c r="F29" t="s">
        <v>644</v>
      </c>
      <c r="G29" t="s">
        <v>855</v>
      </c>
      <c r="H29" t="s">
        <v>857</v>
      </c>
      <c r="J29" t="s">
        <v>625</v>
      </c>
      <c r="M29" s="2" t="s">
        <v>75</v>
      </c>
      <c r="S29" s="174" t="s">
        <v>502</v>
      </c>
      <c r="T29" t="s">
        <v>478</v>
      </c>
      <c r="U29" t="s">
        <v>485</v>
      </c>
      <c r="AA29" t="s">
        <v>1013</v>
      </c>
      <c r="AB29" t="s">
        <v>1014</v>
      </c>
      <c r="AC29" t="s">
        <v>1015</v>
      </c>
    </row>
    <row r="30" spans="1:29" x14ac:dyDescent="0.35">
      <c r="A30" t="s">
        <v>690</v>
      </c>
      <c r="B30" t="s">
        <v>698</v>
      </c>
      <c r="C30" t="s">
        <v>691</v>
      </c>
      <c r="D30" s="215" t="s">
        <v>696</v>
      </c>
      <c r="E30" s="143" t="s">
        <v>695</v>
      </c>
      <c r="F30" t="s">
        <v>644</v>
      </c>
      <c r="J30" t="s">
        <v>818</v>
      </c>
      <c r="M30" s="2" t="s">
        <v>76</v>
      </c>
      <c r="S30" s="174" t="s">
        <v>500</v>
      </c>
      <c r="T30" t="s">
        <v>476</v>
      </c>
      <c r="U30" t="s">
        <v>486</v>
      </c>
      <c r="AA30" t="s">
        <v>1016</v>
      </c>
      <c r="AB30" t="s">
        <v>1017</v>
      </c>
      <c r="AC30" t="s">
        <v>1018</v>
      </c>
    </row>
    <row r="31" spans="1:29" x14ac:dyDescent="0.35">
      <c r="A31" t="s">
        <v>665</v>
      </c>
      <c r="B31" t="s">
        <v>699</v>
      </c>
      <c r="C31" s="143" t="s">
        <v>180</v>
      </c>
      <c r="D31" s="143" t="s">
        <v>697</v>
      </c>
      <c r="E31" s="143" t="s">
        <v>666</v>
      </c>
      <c r="F31" t="s">
        <v>644</v>
      </c>
      <c r="J31" t="s">
        <v>860</v>
      </c>
      <c r="M31" s="2" t="s">
        <v>77</v>
      </c>
      <c r="S31" s="174" t="s">
        <v>412</v>
      </c>
      <c r="T31" t="s">
        <v>383</v>
      </c>
      <c r="U31" t="s">
        <v>440</v>
      </c>
      <c r="AA31" t="s">
        <v>1019</v>
      </c>
      <c r="AB31" t="s">
        <v>1020</v>
      </c>
      <c r="AC31" t="s">
        <v>1021</v>
      </c>
    </row>
    <row r="32" spans="1:29" x14ac:dyDescent="0.35">
      <c r="A32" t="s">
        <v>655</v>
      </c>
      <c r="B32" t="s">
        <v>700</v>
      </c>
      <c r="C32" t="s">
        <v>181</v>
      </c>
      <c r="D32" s="215" t="s">
        <v>711</v>
      </c>
      <c r="E32" s="143" t="s">
        <v>666</v>
      </c>
      <c r="F32" t="s">
        <v>644</v>
      </c>
      <c r="M32" s="2" t="s">
        <v>78</v>
      </c>
      <c r="S32" s="174" t="s">
        <v>544</v>
      </c>
      <c r="T32" t="s">
        <v>519</v>
      </c>
      <c r="U32" t="s">
        <v>533</v>
      </c>
      <c r="AA32" t="s">
        <v>1022</v>
      </c>
      <c r="AB32" t="s">
        <v>1023</v>
      </c>
      <c r="AC32" t="s">
        <v>1024</v>
      </c>
    </row>
    <row r="33" spans="1:29" x14ac:dyDescent="0.35">
      <c r="A33" t="s">
        <v>798</v>
      </c>
      <c r="B33" t="s">
        <v>652</v>
      </c>
      <c r="C33" t="s">
        <v>797</v>
      </c>
      <c r="D33" t="s">
        <v>799</v>
      </c>
      <c r="E33" t="s">
        <v>632</v>
      </c>
      <c r="F33" t="s">
        <v>644</v>
      </c>
      <c r="M33" s="2" t="s">
        <v>79</v>
      </c>
      <c r="S33" s="174" t="s">
        <v>167</v>
      </c>
      <c r="T33" t="s">
        <v>380</v>
      </c>
      <c r="U33" t="s">
        <v>436</v>
      </c>
      <c r="AA33" t="s">
        <v>1622</v>
      </c>
      <c r="AB33" t="s">
        <v>1025</v>
      </c>
      <c r="AC33" t="s">
        <v>1026</v>
      </c>
    </row>
    <row r="34" spans="1:29" x14ac:dyDescent="0.35">
      <c r="M34" s="2" t="s">
        <v>80</v>
      </c>
      <c r="S34" s="174" t="s">
        <v>167</v>
      </c>
      <c r="T34" t="s">
        <v>446</v>
      </c>
      <c r="U34" t="s">
        <v>436</v>
      </c>
      <c r="AA34" t="s">
        <v>1027</v>
      </c>
      <c r="AB34" t="s">
        <v>1028</v>
      </c>
      <c r="AC34" t="s">
        <v>1029</v>
      </c>
    </row>
    <row r="35" spans="1:29" x14ac:dyDescent="0.35">
      <c r="D35" s="143"/>
      <c r="E35" s="143"/>
      <c r="M35" s="2" t="s">
        <v>81</v>
      </c>
      <c r="S35" s="174" t="s">
        <v>167</v>
      </c>
      <c r="T35" t="s">
        <v>446</v>
      </c>
      <c r="U35" t="s">
        <v>436</v>
      </c>
      <c r="AA35" t="s">
        <v>1030</v>
      </c>
      <c r="AB35" t="s">
        <v>1031</v>
      </c>
      <c r="AC35" t="s">
        <v>1032</v>
      </c>
    </row>
    <row r="36" spans="1:29" x14ac:dyDescent="0.35">
      <c r="M36" s="2" t="s">
        <v>82</v>
      </c>
      <c r="S36" s="174" t="s">
        <v>490</v>
      </c>
      <c r="T36" t="s">
        <v>468</v>
      </c>
      <c r="U36" t="s">
        <v>484</v>
      </c>
      <c r="AA36" t="s">
        <v>1033</v>
      </c>
      <c r="AB36" t="s">
        <v>176</v>
      </c>
      <c r="AC36" t="s">
        <v>1034</v>
      </c>
    </row>
    <row r="37" spans="1:29" x14ac:dyDescent="0.35">
      <c r="M37" s="2" t="s">
        <v>83</v>
      </c>
      <c r="S37" s="174" t="s">
        <v>499</v>
      </c>
      <c r="T37" t="s">
        <v>475</v>
      </c>
      <c r="U37" t="s">
        <v>484</v>
      </c>
      <c r="AA37" t="s">
        <v>1035</v>
      </c>
      <c r="AB37" t="s">
        <v>1036</v>
      </c>
      <c r="AC37" t="s">
        <v>1037</v>
      </c>
    </row>
    <row r="38" spans="1:29" x14ac:dyDescent="0.35">
      <c r="M38" s="2" t="s">
        <v>84</v>
      </c>
      <c r="S38" s="174" t="s">
        <v>405</v>
      </c>
      <c r="T38" t="s">
        <v>375</v>
      </c>
      <c r="U38" t="s">
        <v>432</v>
      </c>
      <c r="AA38" t="s">
        <v>1038</v>
      </c>
      <c r="AB38" t="s">
        <v>1039</v>
      </c>
      <c r="AC38" t="s">
        <v>1040</v>
      </c>
    </row>
    <row r="39" spans="1:29" x14ac:dyDescent="0.35">
      <c r="M39" s="2" t="s">
        <v>85</v>
      </c>
      <c r="S39" s="174" t="s">
        <v>407</v>
      </c>
      <c r="T39" t="s">
        <v>449</v>
      </c>
      <c r="U39" t="s">
        <v>432</v>
      </c>
      <c r="AA39" t="s">
        <v>1041</v>
      </c>
      <c r="AB39" t="s">
        <v>1042</v>
      </c>
      <c r="AC39" t="s">
        <v>1043</v>
      </c>
    </row>
    <row r="40" spans="1:29" x14ac:dyDescent="0.35">
      <c r="A40" s="61"/>
      <c r="D40" s="216"/>
      <c r="E40" s="143"/>
      <c r="M40" s="2" t="s">
        <v>86</v>
      </c>
      <c r="S40" s="174" t="s">
        <v>536</v>
      </c>
      <c r="T40" t="s">
        <v>507</v>
      </c>
      <c r="U40" t="s">
        <v>522</v>
      </c>
      <c r="AA40" t="s">
        <v>1044</v>
      </c>
      <c r="AB40" t="s">
        <v>1045</v>
      </c>
      <c r="AC40" t="s">
        <v>1046</v>
      </c>
    </row>
    <row r="41" spans="1:29" x14ac:dyDescent="0.35">
      <c r="M41" s="2" t="s">
        <v>87</v>
      </c>
      <c r="S41" s="174" t="s">
        <v>503</v>
      </c>
      <c r="T41" t="s">
        <v>479</v>
      </c>
      <c r="U41" t="s">
        <v>486</v>
      </c>
      <c r="AA41" t="s">
        <v>930</v>
      </c>
      <c r="AB41" t="s">
        <v>1047</v>
      </c>
      <c r="AC41" t="s">
        <v>1048</v>
      </c>
    </row>
    <row r="42" spans="1:29" x14ac:dyDescent="0.35">
      <c r="M42" s="2" t="s">
        <v>88</v>
      </c>
      <c r="S42" s="174" t="s">
        <v>501</v>
      </c>
      <c r="T42" t="s">
        <v>477</v>
      </c>
      <c r="U42" t="s">
        <v>486</v>
      </c>
      <c r="AA42" t="s">
        <v>1623</v>
      </c>
      <c r="AB42" t="s">
        <v>1049</v>
      </c>
      <c r="AC42" t="s">
        <v>1050</v>
      </c>
    </row>
    <row r="43" spans="1:29" x14ac:dyDescent="0.35">
      <c r="M43" s="2" t="s">
        <v>89</v>
      </c>
      <c r="S43" s="174" t="s">
        <v>227</v>
      </c>
      <c r="T43" t="s">
        <v>390</v>
      </c>
      <c r="U43" t="s">
        <v>457</v>
      </c>
      <c r="AA43" t="s">
        <v>1624</v>
      </c>
      <c r="AB43" t="s">
        <v>1051</v>
      </c>
      <c r="AC43" t="s">
        <v>1052</v>
      </c>
    </row>
    <row r="44" spans="1:29" x14ac:dyDescent="0.35">
      <c r="M44" s="2" t="s">
        <v>90</v>
      </c>
      <c r="S44" s="174" t="s">
        <v>248</v>
      </c>
      <c r="T44" t="s">
        <v>587</v>
      </c>
      <c r="U44" t="s">
        <v>588</v>
      </c>
      <c r="AA44" t="s">
        <v>1053</v>
      </c>
      <c r="AB44" t="s">
        <v>1054</v>
      </c>
      <c r="AC44" t="s">
        <v>1055</v>
      </c>
    </row>
    <row r="45" spans="1:29" x14ac:dyDescent="0.35">
      <c r="M45" s="2" t="s">
        <v>91</v>
      </c>
      <c r="S45" s="174" t="s">
        <v>198</v>
      </c>
      <c r="T45" t="s">
        <v>363</v>
      </c>
      <c r="U45" t="s">
        <v>429</v>
      </c>
      <c r="AA45" t="s">
        <v>1056</v>
      </c>
      <c r="AB45" t="s">
        <v>1057</v>
      </c>
      <c r="AC45" t="s">
        <v>1058</v>
      </c>
    </row>
    <row r="46" spans="1:29" x14ac:dyDescent="0.35">
      <c r="M46" s="2" t="s">
        <v>92</v>
      </c>
      <c r="S46" s="174" t="s">
        <v>464</v>
      </c>
      <c r="T46" t="s">
        <v>369</v>
      </c>
      <c r="U46" t="s">
        <v>432</v>
      </c>
      <c r="AA46" t="s">
        <v>1059</v>
      </c>
      <c r="AB46" t="s">
        <v>1060</v>
      </c>
      <c r="AC46" t="s">
        <v>1061</v>
      </c>
    </row>
    <row r="47" spans="1:29" x14ac:dyDescent="0.35">
      <c r="M47" s="2" t="s">
        <v>93</v>
      </c>
      <c r="S47" s="174" t="s">
        <v>493</v>
      </c>
      <c r="T47" t="s">
        <v>489</v>
      </c>
      <c r="U47" t="s">
        <v>485</v>
      </c>
      <c r="AA47" t="s">
        <v>1062</v>
      </c>
      <c r="AB47" t="s">
        <v>1063</v>
      </c>
      <c r="AC47" t="s">
        <v>1064</v>
      </c>
    </row>
    <row r="48" spans="1:29" x14ac:dyDescent="0.35">
      <c r="M48" s="2" t="s">
        <v>94</v>
      </c>
      <c r="S48" s="174" t="s">
        <v>545</v>
      </c>
      <c r="T48" t="s">
        <v>520</v>
      </c>
      <c r="U48" t="s">
        <v>527</v>
      </c>
      <c r="AA48" t="s">
        <v>1625</v>
      </c>
      <c r="AB48" t="s">
        <v>631</v>
      </c>
      <c r="AC48" t="s">
        <v>1065</v>
      </c>
    </row>
    <row r="49" spans="13:29" x14ac:dyDescent="0.35">
      <c r="M49" s="2" t="s">
        <v>95</v>
      </c>
      <c r="S49" s="174" t="s">
        <v>219</v>
      </c>
      <c r="T49" t="s">
        <v>372</v>
      </c>
      <c r="U49" t="s">
        <v>453</v>
      </c>
      <c r="AA49" t="s">
        <v>1066</v>
      </c>
      <c r="AB49" t="s">
        <v>1067</v>
      </c>
      <c r="AC49" t="s">
        <v>1068</v>
      </c>
    </row>
    <row r="50" spans="13:29" x14ac:dyDescent="0.35">
      <c r="M50" s="2" t="s">
        <v>96</v>
      </c>
      <c r="S50" s="174" t="s">
        <v>208</v>
      </c>
      <c r="T50" t="s">
        <v>391</v>
      </c>
      <c r="U50" t="s">
        <v>437</v>
      </c>
      <c r="AA50" t="s">
        <v>1626</v>
      </c>
      <c r="AB50" t="s">
        <v>1069</v>
      </c>
      <c r="AC50" t="s">
        <v>1070</v>
      </c>
    </row>
    <row r="51" spans="13:29" x14ac:dyDescent="0.35">
      <c r="M51" s="2" t="s">
        <v>97</v>
      </c>
      <c r="S51" s="174" t="s">
        <v>417</v>
      </c>
      <c r="T51" t="s">
        <v>387</v>
      </c>
      <c r="U51" t="s">
        <v>443</v>
      </c>
      <c r="AA51" t="s">
        <v>1644</v>
      </c>
      <c r="AB51" t="s">
        <v>1071</v>
      </c>
      <c r="AC51" t="s">
        <v>1072</v>
      </c>
    </row>
    <row r="52" spans="13:29" x14ac:dyDescent="0.35">
      <c r="M52" s="2" t="s">
        <v>98</v>
      </c>
      <c r="S52" s="174" t="s">
        <v>402</v>
      </c>
      <c r="T52" t="s">
        <v>366</v>
      </c>
      <c r="U52" t="s">
        <v>462</v>
      </c>
      <c r="AA52" t="s">
        <v>1627</v>
      </c>
      <c r="AB52" t="s">
        <v>1073</v>
      </c>
      <c r="AC52" t="s">
        <v>1074</v>
      </c>
    </row>
    <row r="53" spans="13:29" x14ac:dyDescent="0.35">
      <c r="M53" s="2" t="s">
        <v>99</v>
      </c>
      <c r="S53" s="174" t="s">
        <v>207</v>
      </c>
      <c r="T53" t="s">
        <v>395</v>
      </c>
      <c r="U53" t="s">
        <v>458</v>
      </c>
      <c r="AA53" t="s">
        <v>1628</v>
      </c>
      <c r="AB53" t="s">
        <v>1075</v>
      </c>
      <c r="AC53" t="s">
        <v>1076</v>
      </c>
    </row>
    <row r="54" spans="13:29" x14ac:dyDescent="0.35">
      <c r="M54" s="2" t="s">
        <v>100</v>
      </c>
      <c r="S54" s="174" t="s">
        <v>427</v>
      </c>
      <c r="T54" t="s">
        <v>448</v>
      </c>
      <c r="U54" t="s">
        <v>428</v>
      </c>
      <c r="AA54" t="s">
        <v>1077</v>
      </c>
      <c r="AB54" t="s">
        <v>1078</v>
      </c>
      <c r="AC54" t="s">
        <v>1079</v>
      </c>
    </row>
    <row r="55" spans="13:29" x14ac:dyDescent="0.35">
      <c r="M55" s="2" t="s">
        <v>101</v>
      </c>
      <c r="S55" s="174" t="s">
        <v>415</v>
      </c>
      <c r="T55" t="s">
        <v>385</v>
      </c>
      <c r="U55" t="s">
        <v>428</v>
      </c>
      <c r="AA55" t="s">
        <v>1080</v>
      </c>
      <c r="AB55" t="s">
        <v>1081</v>
      </c>
      <c r="AC55" t="s">
        <v>1082</v>
      </c>
    </row>
    <row r="56" spans="13:29" x14ac:dyDescent="0.35">
      <c r="M56" s="2" t="s">
        <v>102</v>
      </c>
      <c r="S56" s="174" t="s">
        <v>413</v>
      </c>
      <c r="T56" t="s">
        <v>397</v>
      </c>
      <c r="U56" t="s">
        <v>444</v>
      </c>
      <c r="AA56" t="s">
        <v>1083</v>
      </c>
      <c r="AB56" t="s">
        <v>1084</v>
      </c>
      <c r="AC56" t="s">
        <v>1085</v>
      </c>
    </row>
    <row r="57" spans="13:29" x14ac:dyDescent="0.35">
      <c r="M57" s="2" t="s">
        <v>103</v>
      </c>
      <c r="S57" s="174" t="s">
        <v>419</v>
      </c>
      <c r="T57" t="s">
        <v>389</v>
      </c>
      <c r="U57" t="s">
        <v>443</v>
      </c>
      <c r="AA57" t="s">
        <v>1086</v>
      </c>
      <c r="AB57" t="s">
        <v>1087</v>
      </c>
      <c r="AC57" t="s">
        <v>1088</v>
      </c>
    </row>
    <row r="58" spans="13:29" x14ac:dyDescent="0.35">
      <c r="M58" s="2" t="s">
        <v>104</v>
      </c>
      <c r="S58" s="174" t="s">
        <v>546</v>
      </c>
      <c r="T58" t="s">
        <v>521</v>
      </c>
      <c r="U58" t="s">
        <v>534</v>
      </c>
      <c r="AA58" t="s">
        <v>1089</v>
      </c>
      <c r="AB58" t="s">
        <v>1090</v>
      </c>
      <c r="AC58" t="s">
        <v>1091</v>
      </c>
    </row>
    <row r="59" spans="13:29" x14ac:dyDescent="0.35">
      <c r="M59" s="2" t="s">
        <v>105</v>
      </c>
      <c r="S59" s="174" t="s">
        <v>422</v>
      </c>
      <c r="T59" t="s">
        <v>392</v>
      </c>
      <c r="U59" t="s">
        <v>431</v>
      </c>
      <c r="AA59" t="s">
        <v>1092</v>
      </c>
      <c r="AB59" t="s">
        <v>1093</v>
      </c>
      <c r="AC59" t="s">
        <v>1094</v>
      </c>
    </row>
    <row r="60" spans="13:29" x14ac:dyDescent="0.35">
      <c r="M60" s="2" t="s">
        <v>106</v>
      </c>
      <c r="S60" s="174" t="s">
        <v>411</v>
      </c>
      <c r="T60" t="s">
        <v>382</v>
      </c>
      <c r="U60" t="s">
        <v>463</v>
      </c>
      <c r="AA60" t="s">
        <v>1095</v>
      </c>
      <c r="AB60" t="s">
        <v>1096</v>
      </c>
      <c r="AC60" t="s">
        <v>1097</v>
      </c>
    </row>
    <row r="61" spans="13:29" x14ac:dyDescent="0.35">
      <c r="M61" s="2" t="s">
        <v>107</v>
      </c>
      <c r="S61" s="174" t="s">
        <v>403</v>
      </c>
      <c r="T61" t="s">
        <v>368</v>
      </c>
      <c r="U61" t="s">
        <v>454</v>
      </c>
      <c r="AA61" t="s">
        <v>913</v>
      </c>
      <c r="AB61" t="s">
        <v>1098</v>
      </c>
      <c r="AC61" t="s">
        <v>1099</v>
      </c>
    </row>
    <row r="62" spans="13:29" x14ac:dyDescent="0.35">
      <c r="M62" s="2" t="s">
        <v>108</v>
      </c>
      <c r="S62" s="174" t="s">
        <v>416</v>
      </c>
      <c r="T62" t="s">
        <v>386</v>
      </c>
      <c r="U62" t="s">
        <v>442</v>
      </c>
      <c r="AA62" t="s">
        <v>1100</v>
      </c>
      <c r="AB62" t="s">
        <v>1101</v>
      </c>
      <c r="AC62" t="s">
        <v>1102</v>
      </c>
    </row>
    <row r="63" spans="13:29" x14ac:dyDescent="0.35">
      <c r="M63" s="2" t="s">
        <v>109</v>
      </c>
      <c r="S63" s="174" t="s">
        <v>423</v>
      </c>
      <c r="T63" t="s">
        <v>393</v>
      </c>
      <c r="U63" t="s">
        <v>456</v>
      </c>
      <c r="AA63" t="s">
        <v>1103</v>
      </c>
      <c r="AB63" t="s">
        <v>1104</v>
      </c>
      <c r="AC63" t="s">
        <v>1105</v>
      </c>
    </row>
    <row r="64" spans="13:29" x14ac:dyDescent="0.35">
      <c r="M64" s="2" t="s">
        <v>110</v>
      </c>
      <c r="S64" s="174" t="s">
        <v>541</v>
      </c>
      <c r="T64" t="s">
        <v>514</v>
      </c>
      <c r="U64" t="s">
        <v>529</v>
      </c>
      <c r="AA64" t="s">
        <v>1629</v>
      </c>
      <c r="AB64" t="s">
        <v>1106</v>
      </c>
      <c r="AC64" t="s">
        <v>1107</v>
      </c>
    </row>
    <row r="65" spans="13:29" x14ac:dyDescent="0.35">
      <c r="M65" s="2" t="s">
        <v>111</v>
      </c>
      <c r="S65" s="174" t="s">
        <v>199</v>
      </c>
      <c r="T65" t="s">
        <v>512</v>
      </c>
      <c r="U65" t="s">
        <v>527</v>
      </c>
      <c r="AA65" t="s">
        <v>1108</v>
      </c>
      <c r="AB65" t="s">
        <v>1109</v>
      </c>
      <c r="AC65" t="s">
        <v>1110</v>
      </c>
    </row>
    <row r="66" spans="13:29" x14ac:dyDescent="0.35">
      <c r="M66" s="2" t="s">
        <v>112</v>
      </c>
      <c r="S66" s="174" t="s">
        <v>537</v>
      </c>
      <c r="T66" t="s">
        <v>508</v>
      </c>
      <c r="U66" t="s">
        <v>523</v>
      </c>
      <c r="AA66" t="s">
        <v>1111</v>
      </c>
      <c r="AB66" t="s">
        <v>1112</v>
      </c>
      <c r="AC66" t="s">
        <v>1113</v>
      </c>
    </row>
    <row r="67" spans="13:29" x14ac:dyDescent="0.35">
      <c r="M67" s="3" t="s">
        <v>113</v>
      </c>
      <c r="S67" s="174" t="s">
        <v>497</v>
      </c>
      <c r="T67" t="s">
        <v>473</v>
      </c>
      <c r="U67" t="s">
        <v>485</v>
      </c>
      <c r="AA67" t="s">
        <v>1114</v>
      </c>
      <c r="AB67" t="s">
        <v>1115</v>
      </c>
      <c r="AC67" t="s">
        <v>1116</v>
      </c>
    </row>
    <row r="68" spans="13:29" x14ac:dyDescent="0.35">
      <c r="M68" s="3" t="s">
        <v>114</v>
      </c>
      <c r="S68" s="174" t="s">
        <v>539</v>
      </c>
      <c r="T68" t="s">
        <v>511</v>
      </c>
      <c r="U68" t="s">
        <v>526</v>
      </c>
      <c r="AA68" t="s">
        <v>1117</v>
      </c>
      <c r="AB68" t="s">
        <v>1118</v>
      </c>
      <c r="AC68" t="s">
        <v>1119</v>
      </c>
    </row>
    <row r="69" spans="13:29" x14ac:dyDescent="0.35">
      <c r="M69" s="3" t="s">
        <v>115</v>
      </c>
      <c r="S69" s="174" t="s">
        <v>543</v>
      </c>
      <c r="T69" t="s">
        <v>516</v>
      </c>
      <c r="U69" t="s">
        <v>530</v>
      </c>
      <c r="AA69" t="s">
        <v>1120</v>
      </c>
      <c r="AB69" t="s">
        <v>1121</v>
      </c>
      <c r="AC69" t="s">
        <v>1122</v>
      </c>
    </row>
    <row r="70" spans="13:29" x14ac:dyDescent="0.35">
      <c r="M70" s="3" t="s">
        <v>116</v>
      </c>
      <c r="S70" s="174" t="s">
        <v>424</v>
      </c>
      <c r="T70" t="s">
        <v>394</v>
      </c>
      <c r="U70" t="s">
        <v>456</v>
      </c>
      <c r="AA70" t="s">
        <v>1123</v>
      </c>
      <c r="AB70" t="s">
        <v>1124</v>
      </c>
      <c r="AC70" t="s">
        <v>1125</v>
      </c>
    </row>
    <row r="71" spans="13:29" x14ac:dyDescent="0.35">
      <c r="M71" s="3" t="s">
        <v>117</v>
      </c>
      <c r="S71" s="174" t="s">
        <v>270</v>
      </c>
      <c r="T71" t="s">
        <v>517</v>
      </c>
      <c r="U71" t="s">
        <v>531</v>
      </c>
      <c r="AA71" t="s">
        <v>1126</v>
      </c>
      <c r="AB71" t="s">
        <v>1127</v>
      </c>
      <c r="AC71" t="s">
        <v>1128</v>
      </c>
    </row>
    <row r="72" spans="13:29" x14ac:dyDescent="0.35">
      <c r="M72" s="3" t="s">
        <v>118</v>
      </c>
      <c r="S72" s="174" t="s">
        <v>409</v>
      </c>
      <c r="T72" t="s">
        <v>379</v>
      </c>
      <c r="U72" t="s">
        <v>439</v>
      </c>
      <c r="AA72" t="s">
        <v>1129</v>
      </c>
      <c r="AB72" t="s">
        <v>1130</v>
      </c>
      <c r="AC72" t="s">
        <v>1131</v>
      </c>
    </row>
    <row r="73" spans="13:29" x14ac:dyDescent="0.35">
      <c r="M73" s="3" t="s">
        <v>119</v>
      </c>
      <c r="S73" s="174" t="s">
        <v>279</v>
      </c>
      <c r="T73" t="s">
        <v>376</v>
      </c>
      <c r="U73" t="s">
        <v>435</v>
      </c>
      <c r="AA73" t="s">
        <v>1645</v>
      </c>
      <c r="AB73" t="s">
        <v>1132</v>
      </c>
      <c r="AC73" t="s">
        <v>1133</v>
      </c>
    </row>
    <row r="74" spans="13:29" x14ac:dyDescent="0.35">
      <c r="M74" s="3" t="s">
        <v>120</v>
      </c>
      <c r="S74" s="174" t="s">
        <v>496</v>
      </c>
      <c r="T74" t="s">
        <v>472</v>
      </c>
      <c r="U74" t="s">
        <v>485</v>
      </c>
      <c r="AA74" t="s">
        <v>1630</v>
      </c>
      <c r="AB74" t="s">
        <v>1134</v>
      </c>
      <c r="AC74" t="s">
        <v>1135</v>
      </c>
    </row>
    <row r="75" spans="13:29" x14ac:dyDescent="0.35">
      <c r="M75" s="3" t="s">
        <v>121</v>
      </c>
      <c r="S75" s="174" t="s">
        <v>425</v>
      </c>
      <c r="T75" t="s">
        <v>398</v>
      </c>
      <c r="U75" t="s">
        <v>461</v>
      </c>
      <c r="AA75" t="s">
        <v>1136</v>
      </c>
      <c r="AB75" t="s">
        <v>1137</v>
      </c>
      <c r="AC75" t="s">
        <v>1138</v>
      </c>
    </row>
    <row r="76" spans="13:29" x14ac:dyDescent="0.35">
      <c r="M76" s="3" t="s">
        <v>122</v>
      </c>
      <c r="S76" s="174" t="s">
        <v>221</v>
      </c>
      <c r="T76" t="s">
        <v>370</v>
      </c>
      <c r="U76" t="s">
        <v>433</v>
      </c>
      <c r="AA76" t="s">
        <v>891</v>
      </c>
      <c r="AB76" t="s">
        <v>1139</v>
      </c>
      <c r="AC76" t="s">
        <v>1140</v>
      </c>
    </row>
    <row r="77" spans="13:29" x14ac:dyDescent="0.35">
      <c r="M77" s="3" t="s">
        <v>123</v>
      </c>
      <c r="S77" s="174" t="s">
        <v>197</v>
      </c>
      <c r="T77" t="s">
        <v>466</v>
      </c>
      <c r="U77" t="s">
        <v>467</v>
      </c>
      <c r="AA77" t="s">
        <v>922</v>
      </c>
      <c r="AB77" t="s">
        <v>1141</v>
      </c>
      <c r="AC77" t="s">
        <v>1142</v>
      </c>
    </row>
    <row r="78" spans="13:29" x14ac:dyDescent="0.35">
      <c r="M78" s="3" t="s">
        <v>124</v>
      </c>
      <c r="S78" s="174" t="s">
        <v>498</v>
      </c>
      <c r="T78" t="s">
        <v>474</v>
      </c>
      <c r="U78" t="s">
        <v>486</v>
      </c>
      <c r="AA78" t="s">
        <v>1143</v>
      </c>
      <c r="AB78" t="s">
        <v>1144</v>
      </c>
      <c r="AC78" t="s">
        <v>1145</v>
      </c>
    </row>
    <row r="79" spans="13:29" x14ac:dyDescent="0.35">
      <c r="M79" s="3" t="s">
        <v>125</v>
      </c>
      <c r="S79" s="174" t="s">
        <v>571</v>
      </c>
      <c r="T79" t="s">
        <v>572</v>
      </c>
      <c r="U79" t="s">
        <v>573</v>
      </c>
      <c r="AA79" t="s">
        <v>1146</v>
      </c>
      <c r="AB79" t="s">
        <v>1147</v>
      </c>
      <c r="AC79" t="s">
        <v>1148</v>
      </c>
    </row>
    <row r="80" spans="13:29" x14ac:dyDescent="0.35">
      <c r="M80" s="3" t="s">
        <v>126</v>
      </c>
      <c r="AA80" t="s">
        <v>1149</v>
      </c>
      <c r="AB80" t="s">
        <v>1150</v>
      </c>
      <c r="AC80" t="s">
        <v>1151</v>
      </c>
    </row>
    <row r="81" spans="27:29" x14ac:dyDescent="0.35">
      <c r="AA81" t="s">
        <v>1152</v>
      </c>
      <c r="AB81" t="s">
        <v>1153</v>
      </c>
      <c r="AC81" t="s">
        <v>1154</v>
      </c>
    </row>
    <row r="82" spans="27:29" x14ac:dyDescent="0.35">
      <c r="AA82" t="s">
        <v>1639</v>
      </c>
      <c r="AB82" t="s">
        <v>1155</v>
      </c>
      <c r="AC82" t="s">
        <v>1156</v>
      </c>
    </row>
    <row r="83" spans="27:29" x14ac:dyDescent="0.35">
      <c r="AA83" t="s">
        <v>1157</v>
      </c>
      <c r="AB83" t="s">
        <v>1158</v>
      </c>
      <c r="AC83" t="s">
        <v>1159</v>
      </c>
    </row>
    <row r="84" spans="27:29" x14ac:dyDescent="0.35">
      <c r="AA84" t="s">
        <v>883</v>
      </c>
      <c r="AB84" t="s">
        <v>1160</v>
      </c>
      <c r="AC84" t="s">
        <v>1161</v>
      </c>
    </row>
    <row r="85" spans="27:29" x14ac:dyDescent="0.35">
      <c r="AA85" t="s">
        <v>1162</v>
      </c>
      <c r="AB85" t="s">
        <v>1163</v>
      </c>
      <c r="AC85" t="s">
        <v>1164</v>
      </c>
    </row>
    <row r="86" spans="27:29" x14ac:dyDescent="0.35">
      <c r="AA86" t="s">
        <v>1165</v>
      </c>
      <c r="AB86" t="s">
        <v>1166</v>
      </c>
      <c r="AC86" t="s">
        <v>1167</v>
      </c>
    </row>
    <row r="87" spans="27:29" x14ac:dyDescent="0.35">
      <c r="AA87" t="s">
        <v>1168</v>
      </c>
      <c r="AB87" t="s">
        <v>1169</v>
      </c>
      <c r="AC87" t="s">
        <v>1170</v>
      </c>
    </row>
    <row r="88" spans="27:29" x14ac:dyDescent="0.35">
      <c r="AA88" t="s">
        <v>1171</v>
      </c>
      <c r="AB88" t="s">
        <v>1172</v>
      </c>
      <c r="AC88" t="s">
        <v>1173</v>
      </c>
    </row>
    <row r="89" spans="27:29" x14ac:dyDescent="0.35">
      <c r="AA89" t="s">
        <v>1174</v>
      </c>
      <c r="AB89" t="s">
        <v>1175</v>
      </c>
      <c r="AC89" t="s">
        <v>1176</v>
      </c>
    </row>
    <row r="90" spans="27:29" x14ac:dyDescent="0.35">
      <c r="AA90" t="s">
        <v>1177</v>
      </c>
      <c r="AB90" t="s">
        <v>1178</v>
      </c>
      <c r="AC90" t="s">
        <v>1179</v>
      </c>
    </row>
    <row r="91" spans="27:29" x14ac:dyDescent="0.35">
      <c r="AA91" t="s">
        <v>1180</v>
      </c>
      <c r="AB91" t="s">
        <v>1181</v>
      </c>
      <c r="AC91" t="s">
        <v>1182</v>
      </c>
    </row>
    <row r="92" spans="27:29" x14ac:dyDescent="0.35">
      <c r="AA92" t="s">
        <v>1183</v>
      </c>
      <c r="AB92" t="s">
        <v>1184</v>
      </c>
      <c r="AC92" t="s">
        <v>1185</v>
      </c>
    </row>
    <row r="93" spans="27:29" x14ac:dyDescent="0.35">
      <c r="AA93" t="s">
        <v>1186</v>
      </c>
      <c r="AB93" t="s">
        <v>1187</v>
      </c>
      <c r="AC93" t="s">
        <v>1188</v>
      </c>
    </row>
    <row r="94" spans="27:29" x14ac:dyDescent="0.35">
      <c r="AA94" t="s">
        <v>1189</v>
      </c>
      <c r="AB94" t="s">
        <v>1190</v>
      </c>
      <c r="AC94" t="s">
        <v>1191</v>
      </c>
    </row>
    <row r="95" spans="27:29" x14ac:dyDescent="0.35">
      <c r="AA95" t="s">
        <v>1192</v>
      </c>
      <c r="AB95" t="s">
        <v>1193</v>
      </c>
      <c r="AC95" t="s">
        <v>1194</v>
      </c>
    </row>
    <row r="96" spans="27:29" x14ac:dyDescent="0.35">
      <c r="AA96" t="s">
        <v>1195</v>
      </c>
      <c r="AB96" t="s">
        <v>1196</v>
      </c>
      <c r="AC96" t="s">
        <v>1197</v>
      </c>
    </row>
    <row r="97" spans="27:29" x14ac:dyDescent="0.35">
      <c r="AA97" t="s">
        <v>1198</v>
      </c>
      <c r="AB97" t="s">
        <v>1199</v>
      </c>
      <c r="AC97" t="s">
        <v>1200</v>
      </c>
    </row>
    <row r="98" spans="27:29" x14ac:dyDescent="0.35">
      <c r="AA98" t="s">
        <v>1201</v>
      </c>
      <c r="AB98" t="s">
        <v>1202</v>
      </c>
      <c r="AC98" t="s">
        <v>1203</v>
      </c>
    </row>
    <row r="99" spans="27:29" x14ac:dyDescent="0.35">
      <c r="AA99" t="s">
        <v>1640</v>
      </c>
      <c r="AB99" t="s">
        <v>611</v>
      </c>
      <c r="AC99" t="s">
        <v>1204</v>
      </c>
    </row>
    <row r="100" spans="27:29" x14ac:dyDescent="0.35">
      <c r="AA100" t="s">
        <v>1205</v>
      </c>
      <c r="AB100" t="s">
        <v>1206</v>
      </c>
      <c r="AC100" t="s">
        <v>1207</v>
      </c>
    </row>
    <row r="101" spans="27:29" x14ac:dyDescent="0.35">
      <c r="AA101" t="s">
        <v>907</v>
      </c>
      <c r="AB101" t="s">
        <v>1208</v>
      </c>
      <c r="AC101" t="s">
        <v>1209</v>
      </c>
    </row>
    <row r="102" spans="27:29" x14ac:dyDescent="0.35">
      <c r="AA102" t="s">
        <v>914</v>
      </c>
      <c r="AB102" t="s">
        <v>1210</v>
      </c>
      <c r="AC102" t="s">
        <v>1211</v>
      </c>
    </row>
    <row r="103" spans="27:29" x14ac:dyDescent="0.35">
      <c r="AA103" t="s">
        <v>1212</v>
      </c>
      <c r="AB103" t="s">
        <v>1213</v>
      </c>
      <c r="AC103" t="s">
        <v>1214</v>
      </c>
    </row>
    <row r="104" spans="27:29" x14ac:dyDescent="0.35">
      <c r="AA104" t="s">
        <v>889</v>
      </c>
      <c r="AB104" t="s">
        <v>910</v>
      </c>
      <c r="AC104" t="s">
        <v>1215</v>
      </c>
    </row>
    <row r="105" spans="27:29" x14ac:dyDescent="0.35">
      <c r="AA105" t="s">
        <v>924</v>
      </c>
      <c r="AB105" t="s">
        <v>1216</v>
      </c>
      <c r="AC105" t="s">
        <v>1217</v>
      </c>
    </row>
    <row r="106" spans="27:29" x14ac:dyDescent="0.35">
      <c r="AA106" t="s">
        <v>1218</v>
      </c>
      <c r="AB106" t="s">
        <v>1219</v>
      </c>
      <c r="AC106" t="s">
        <v>1220</v>
      </c>
    </row>
    <row r="107" spans="27:29" x14ac:dyDescent="0.35">
      <c r="AA107" t="s">
        <v>1221</v>
      </c>
      <c r="AB107" t="s">
        <v>1222</v>
      </c>
      <c r="AC107" t="s">
        <v>1223</v>
      </c>
    </row>
    <row r="108" spans="27:29" x14ac:dyDescent="0.35">
      <c r="AA108" t="s">
        <v>893</v>
      </c>
      <c r="AB108" t="s">
        <v>1224</v>
      </c>
      <c r="AC108" t="s">
        <v>1225</v>
      </c>
    </row>
    <row r="109" spans="27:29" x14ac:dyDescent="0.35">
      <c r="AA109" t="s">
        <v>1226</v>
      </c>
      <c r="AB109" t="s">
        <v>1227</v>
      </c>
      <c r="AC109" t="s">
        <v>1228</v>
      </c>
    </row>
    <row r="110" spans="27:29" x14ac:dyDescent="0.35">
      <c r="AA110" t="s">
        <v>1229</v>
      </c>
      <c r="AB110" t="s">
        <v>1230</v>
      </c>
      <c r="AC110" t="s">
        <v>1231</v>
      </c>
    </row>
    <row r="111" spans="27:29" x14ac:dyDescent="0.35">
      <c r="AA111" t="s">
        <v>828</v>
      </c>
      <c r="AB111" t="s">
        <v>179</v>
      </c>
      <c r="AC111" t="s">
        <v>1232</v>
      </c>
    </row>
    <row r="112" spans="27:29" x14ac:dyDescent="0.35">
      <c r="AA112" t="s">
        <v>1233</v>
      </c>
      <c r="AB112" t="s">
        <v>1234</v>
      </c>
      <c r="AC112" t="s">
        <v>1235</v>
      </c>
    </row>
    <row r="113" spans="27:29" x14ac:dyDescent="0.35">
      <c r="AA113" t="s">
        <v>830</v>
      </c>
      <c r="AB113" t="s">
        <v>1236</v>
      </c>
      <c r="AC113" t="s">
        <v>1237</v>
      </c>
    </row>
    <row r="114" spans="27:29" x14ac:dyDescent="0.35">
      <c r="AA114" t="s">
        <v>1238</v>
      </c>
      <c r="AB114" t="s">
        <v>1239</v>
      </c>
      <c r="AC114" t="s">
        <v>1240</v>
      </c>
    </row>
    <row r="115" spans="27:29" x14ac:dyDescent="0.35">
      <c r="AA115" t="s">
        <v>1241</v>
      </c>
      <c r="AB115" t="s">
        <v>1242</v>
      </c>
      <c r="AC115" t="s">
        <v>1243</v>
      </c>
    </row>
    <row r="116" spans="27:29" x14ac:dyDescent="0.35">
      <c r="AA116" t="s">
        <v>1244</v>
      </c>
      <c r="AB116" t="s">
        <v>1245</v>
      </c>
      <c r="AC116" t="s">
        <v>1246</v>
      </c>
    </row>
    <row r="117" spans="27:29" x14ac:dyDescent="0.35">
      <c r="AA117" t="s">
        <v>1247</v>
      </c>
      <c r="AB117" t="s">
        <v>1248</v>
      </c>
      <c r="AC117" t="s">
        <v>1249</v>
      </c>
    </row>
    <row r="118" spans="27:29" x14ac:dyDescent="0.35">
      <c r="AA118" t="s">
        <v>1250</v>
      </c>
      <c r="AB118" t="s">
        <v>1251</v>
      </c>
      <c r="AC118" t="s">
        <v>1252</v>
      </c>
    </row>
    <row r="119" spans="27:29" x14ac:dyDescent="0.35">
      <c r="AA119" t="s">
        <v>1641</v>
      </c>
      <c r="AB119" t="s">
        <v>1253</v>
      </c>
      <c r="AC119" t="s">
        <v>1254</v>
      </c>
    </row>
    <row r="120" spans="27:29" x14ac:dyDescent="0.35">
      <c r="AA120" t="s">
        <v>1642</v>
      </c>
      <c r="AB120" t="s">
        <v>1255</v>
      </c>
      <c r="AC120" t="s">
        <v>1256</v>
      </c>
    </row>
    <row r="121" spans="27:29" x14ac:dyDescent="0.35">
      <c r="AA121" t="s">
        <v>909</v>
      </c>
      <c r="AB121" t="s">
        <v>1257</v>
      </c>
      <c r="AC121" t="s">
        <v>1258</v>
      </c>
    </row>
    <row r="122" spans="27:29" x14ac:dyDescent="0.35">
      <c r="AA122" t="s">
        <v>1259</v>
      </c>
      <c r="AB122" t="s">
        <v>1260</v>
      </c>
      <c r="AC122" t="s">
        <v>1261</v>
      </c>
    </row>
    <row r="123" spans="27:29" x14ac:dyDescent="0.35">
      <c r="AA123" t="s">
        <v>1262</v>
      </c>
      <c r="AB123" t="s">
        <v>1263</v>
      </c>
      <c r="AC123" t="s">
        <v>1264</v>
      </c>
    </row>
    <row r="124" spans="27:29" x14ac:dyDescent="0.35">
      <c r="AA124" t="s">
        <v>1265</v>
      </c>
      <c r="AB124" t="s">
        <v>1266</v>
      </c>
      <c r="AC124" t="s">
        <v>1267</v>
      </c>
    </row>
    <row r="125" spans="27:29" x14ac:dyDescent="0.35">
      <c r="AA125" t="s">
        <v>1268</v>
      </c>
      <c r="AB125" t="s">
        <v>1269</v>
      </c>
      <c r="AC125" t="s">
        <v>1270</v>
      </c>
    </row>
    <row r="126" spans="27:29" x14ac:dyDescent="0.35">
      <c r="AA126" t="s">
        <v>1271</v>
      </c>
      <c r="AB126" t="s">
        <v>1272</v>
      </c>
      <c r="AC126" t="s">
        <v>1273</v>
      </c>
    </row>
    <row r="127" spans="27:29" x14ac:dyDescent="0.35">
      <c r="AA127" t="s">
        <v>1274</v>
      </c>
      <c r="AB127" t="s">
        <v>1275</v>
      </c>
      <c r="AC127" t="s">
        <v>1276</v>
      </c>
    </row>
    <row r="128" spans="27:29" x14ac:dyDescent="0.35">
      <c r="AA128" t="s">
        <v>1277</v>
      </c>
      <c r="AB128" t="s">
        <v>1278</v>
      </c>
      <c r="AC128" t="s">
        <v>1279</v>
      </c>
    </row>
    <row r="129" spans="27:29" x14ac:dyDescent="0.35">
      <c r="AA129" t="s">
        <v>1280</v>
      </c>
      <c r="AB129" t="s">
        <v>1281</v>
      </c>
      <c r="AC129" t="s">
        <v>1282</v>
      </c>
    </row>
    <row r="130" spans="27:29" x14ac:dyDescent="0.35">
      <c r="AA130" t="s">
        <v>1283</v>
      </c>
      <c r="AB130" t="s">
        <v>1284</v>
      </c>
      <c r="AC130" t="s">
        <v>1285</v>
      </c>
    </row>
    <row r="131" spans="27:29" x14ac:dyDescent="0.35">
      <c r="AA131" t="s">
        <v>915</v>
      </c>
      <c r="AB131" t="s">
        <v>1286</v>
      </c>
      <c r="AC131" t="s">
        <v>1287</v>
      </c>
    </row>
    <row r="132" spans="27:29" x14ac:dyDescent="0.35">
      <c r="AA132" t="s">
        <v>894</v>
      </c>
      <c r="AB132" t="s">
        <v>1288</v>
      </c>
      <c r="AC132" t="s">
        <v>1289</v>
      </c>
    </row>
    <row r="133" spans="27:29" x14ac:dyDescent="0.35">
      <c r="AA133" t="s">
        <v>1290</v>
      </c>
      <c r="AB133" t="s">
        <v>1291</v>
      </c>
      <c r="AC133" t="s">
        <v>1292</v>
      </c>
    </row>
    <row r="134" spans="27:29" x14ac:dyDescent="0.35">
      <c r="AA134" t="s">
        <v>1293</v>
      </c>
      <c r="AB134" t="s">
        <v>1294</v>
      </c>
      <c r="AC134" t="s">
        <v>1295</v>
      </c>
    </row>
    <row r="135" spans="27:29" x14ac:dyDescent="0.35">
      <c r="AA135" t="s">
        <v>1296</v>
      </c>
      <c r="AB135" t="s">
        <v>1297</v>
      </c>
      <c r="AC135" t="s">
        <v>1298</v>
      </c>
    </row>
    <row r="136" spans="27:29" x14ac:dyDescent="0.35">
      <c r="AA136" t="s">
        <v>1299</v>
      </c>
      <c r="AB136" t="s">
        <v>1300</v>
      </c>
      <c r="AC136" t="s">
        <v>1301</v>
      </c>
    </row>
    <row r="137" spans="27:29" x14ac:dyDescent="0.35">
      <c r="AA137" t="s">
        <v>1302</v>
      </c>
      <c r="AB137" t="s">
        <v>1303</v>
      </c>
      <c r="AC137" t="s">
        <v>1304</v>
      </c>
    </row>
    <row r="138" spans="27:29" x14ac:dyDescent="0.35">
      <c r="AA138" t="s">
        <v>1305</v>
      </c>
      <c r="AB138" t="s">
        <v>1306</v>
      </c>
      <c r="AC138" t="s">
        <v>1307</v>
      </c>
    </row>
    <row r="139" spans="27:29" x14ac:dyDescent="0.35">
      <c r="AA139" t="s">
        <v>1637</v>
      </c>
      <c r="AB139" t="s">
        <v>1308</v>
      </c>
      <c r="AC139" t="s">
        <v>1309</v>
      </c>
    </row>
    <row r="140" spans="27:29" x14ac:dyDescent="0.35">
      <c r="AA140" t="s">
        <v>1310</v>
      </c>
      <c r="AB140" t="s">
        <v>1311</v>
      </c>
      <c r="AC140" t="s">
        <v>1312</v>
      </c>
    </row>
    <row r="141" spans="27:29" x14ac:dyDescent="0.35">
      <c r="AA141" t="s">
        <v>1313</v>
      </c>
      <c r="AB141" t="s">
        <v>1314</v>
      </c>
      <c r="AC141" t="s">
        <v>1315</v>
      </c>
    </row>
    <row r="142" spans="27:29" x14ac:dyDescent="0.35">
      <c r="AA142" t="s">
        <v>1316</v>
      </c>
      <c r="AB142" t="s">
        <v>1317</v>
      </c>
      <c r="AC142" t="s">
        <v>1318</v>
      </c>
    </row>
    <row r="143" spans="27:29" x14ac:dyDescent="0.35">
      <c r="AA143" t="s">
        <v>1319</v>
      </c>
      <c r="AB143" t="s">
        <v>1320</v>
      </c>
      <c r="AC143" t="s">
        <v>1321</v>
      </c>
    </row>
    <row r="144" spans="27:29" x14ac:dyDescent="0.35">
      <c r="AA144" t="s">
        <v>1322</v>
      </c>
      <c r="AB144" t="s">
        <v>1323</v>
      </c>
      <c r="AC144" t="s">
        <v>1324</v>
      </c>
    </row>
    <row r="145" spans="27:29" x14ac:dyDescent="0.35">
      <c r="AA145" t="s">
        <v>1325</v>
      </c>
      <c r="AB145" t="s">
        <v>1326</v>
      </c>
      <c r="AC145" t="s">
        <v>1327</v>
      </c>
    </row>
    <row r="146" spans="27:29" x14ac:dyDescent="0.35">
      <c r="AA146" t="s">
        <v>1636</v>
      </c>
      <c r="AB146" t="s">
        <v>1328</v>
      </c>
      <c r="AC146" t="s">
        <v>1329</v>
      </c>
    </row>
    <row r="147" spans="27:29" x14ac:dyDescent="0.35">
      <c r="AA147" t="s">
        <v>1330</v>
      </c>
      <c r="AB147" t="s">
        <v>1331</v>
      </c>
      <c r="AC147" t="s">
        <v>1332</v>
      </c>
    </row>
    <row r="148" spans="27:29" x14ac:dyDescent="0.35">
      <c r="AA148" t="s">
        <v>1333</v>
      </c>
      <c r="AB148" t="s">
        <v>1334</v>
      </c>
      <c r="AC148" t="s">
        <v>1335</v>
      </c>
    </row>
    <row r="149" spans="27:29" x14ac:dyDescent="0.35">
      <c r="AA149" t="s">
        <v>1336</v>
      </c>
      <c r="AB149" t="s">
        <v>1337</v>
      </c>
      <c r="AC149" t="s">
        <v>1338</v>
      </c>
    </row>
    <row r="150" spans="27:29" x14ac:dyDescent="0.35">
      <c r="AA150" t="s">
        <v>1339</v>
      </c>
      <c r="AB150" t="s">
        <v>1340</v>
      </c>
      <c r="AC150" t="s">
        <v>1341</v>
      </c>
    </row>
    <row r="151" spans="27:29" x14ac:dyDescent="0.35">
      <c r="AA151" t="s">
        <v>1342</v>
      </c>
      <c r="AB151" t="s">
        <v>1343</v>
      </c>
      <c r="AC151" t="s">
        <v>1344</v>
      </c>
    </row>
    <row r="152" spans="27:29" x14ac:dyDescent="0.35">
      <c r="AA152" t="s">
        <v>1345</v>
      </c>
      <c r="AB152" t="s">
        <v>1346</v>
      </c>
      <c r="AC152" t="s">
        <v>1347</v>
      </c>
    </row>
    <row r="153" spans="27:29" x14ac:dyDescent="0.35">
      <c r="AA153" t="s">
        <v>1348</v>
      </c>
      <c r="AB153" t="s">
        <v>1349</v>
      </c>
      <c r="AC153" t="s">
        <v>1350</v>
      </c>
    </row>
    <row r="154" spans="27:29" x14ac:dyDescent="0.35">
      <c r="AA154" t="s">
        <v>1351</v>
      </c>
      <c r="AB154" t="s">
        <v>1352</v>
      </c>
      <c r="AC154" t="s">
        <v>1353</v>
      </c>
    </row>
    <row r="155" spans="27:29" x14ac:dyDescent="0.35">
      <c r="AA155" t="s">
        <v>1354</v>
      </c>
      <c r="AB155" t="s">
        <v>1355</v>
      </c>
      <c r="AC155" t="s">
        <v>1356</v>
      </c>
    </row>
    <row r="156" spans="27:29" x14ac:dyDescent="0.35">
      <c r="AA156" t="s">
        <v>1357</v>
      </c>
      <c r="AB156" t="s">
        <v>1358</v>
      </c>
      <c r="AC156" t="s">
        <v>1359</v>
      </c>
    </row>
    <row r="157" spans="27:29" x14ac:dyDescent="0.35">
      <c r="AA157" t="s">
        <v>890</v>
      </c>
      <c r="AB157" t="s">
        <v>1360</v>
      </c>
      <c r="AC157" t="s">
        <v>1361</v>
      </c>
    </row>
    <row r="158" spans="27:29" x14ac:dyDescent="0.35">
      <c r="AA158" t="s">
        <v>1362</v>
      </c>
      <c r="AB158" t="s">
        <v>1363</v>
      </c>
      <c r="AC158" t="s">
        <v>1364</v>
      </c>
    </row>
    <row r="159" spans="27:29" x14ac:dyDescent="0.35">
      <c r="AA159" t="s">
        <v>1365</v>
      </c>
      <c r="AB159" t="s">
        <v>1366</v>
      </c>
      <c r="AC159" t="s">
        <v>1367</v>
      </c>
    </row>
    <row r="160" spans="27:29" x14ac:dyDescent="0.35">
      <c r="AA160" t="s">
        <v>1368</v>
      </c>
      <c r="AB160" t="s">
        <v>1369</v>
      </c>
      <c r="AC160" t="s">
        <v>1370</v>
      </c>
    </row>
    <row r="161" spans="27:29" x14ac:dyDescent="0.35">
      <c r="AA161" t="s">
        <v>1638</v>
      </c>
      <c r="AB161" t="s">
        <v>1371</v>
      </c>
      <c r="AC161" t="s">
        <v>1372</v>
      </c>
    </row>
    <row r="162" spans="27:29" x14ac:dyDescent="0.35">
      <c r="AA162" t="s">
        <v>1373</v>
      </c>
      <c r="AB162" t="s">
        <v>1374</v>
      </c>
      <c r="AC162" t="s">
        <v>1375</v>
      </c>
    </row>
    <row r="163" spans="27:29" x14ac:dyDescent="0.35">
      <c r="AA163" t="s">
        <v>1376</v>
      </c>
      <c r="AB163" t="s">
        <v>1377</v>
      </c>
      <c r="AC163" t="s">
        <v>1378</v>
      </c>
    </row>
    <row r="164" spans="27:29" x14ac:dyDescent="0.35">
      <c r="AA164" t="s">
        <v>1379</v>
      </c>
      <c r="AB164" t="s">
        <v>1380</v>
      </c>
      <c r="AC164" t="s">
        <v>1381</v>
      </c>
    </row>
    <row r="165" spans="27:29" x14ac:dyDescent="0.35">
      <c r="AA165" t="s">
        <v>1643</v>
      </c>
      <c r="AB165" t="s">
        <v>1382</v>
      </c>
      <c r="AC165" t="s">
        <v>1383</v>
      </c>
    </row>
    <row r="166" spans="27:29" x14ac:dyDescent="0.35">
      <c r="AA166" t="s">
        <v>1384</v>
      </c>
      <c r="AB166" t="s">
        <v>1385</v>
      </c>
      <c r="AC166" t="s">
        <v>1386</v>
      </c>
    </row>
    <row r="167" spans="27:29" x14ac:dyDescent="0.35">
      <c r="AA167" t="s">
        <v>1387</v>
      </c>
      <c r="AB167" t="s">
        <v>1388</v>
      </c>
      <c r="AC167" t="s">
        <v>1389</v>
      </c>
    </row>
    <row r="168" spans="27:29" x14ac:dyDescent="0.35">
      <c r="AA168" t="s">
        <v>1390</v>
      </c>
      <c r="AB168" t="s">
        <v>1391</v>
      </c>
      <c r="AC168" t="s">
        <v>1392</v>
      </c>
    </row>
    <row r="169" spans="27:29" x14ac:dyDescent="0.35">
      <c r="AA169" t="s">
        <v>1393</v>
      </c>
      <c r="AB169" t="s">
        <v>1394</v>
      </c>
      <c r="AC169" t="s">
        <v>1395</v>
      </c>
    </row>
    <row r="170" spans="27:29" x14ac:dyDescent="0.35">
      <c r="AA170" t="s">
        <v>1396</v>
      </c>
      <c r="AB170" t="s">
        <v>1397</v>
      </c>
      <c r="AC170" t="s">
        <v>1398</v>
      </c>
    </row>
    <row r="171" spans="27:29" x14ac:dyDescent="0.35">
      <c r="AA171" t="s">
        <v>1399</v>
      </c>
      <c r="AB171" t="s">
        <v>1400</v>
      </c>
      <c r="AC171" t="s">
        <v>1401</v>
      </c>
    </row>
    <row r="172" spans="27:29" x14ac:dyDescent="0.35">
      <c r="AA172" t="s">
        <v>1402</v>
      </c>
      <c r="AB172" t="s">
        <v>1403</v>
      </c>
      <c r="AC172" t="s">
        <v>1404</v>
      </c>
    </row>
    <row r="173" spans="27:29" x14ac:dyDescent="0.35">
      <c r="AA173" t="s">
        <v>1405</v>
      </c>
      <c r="AB173" t="s">
        <v>1406</v>
      </c>
      <c r="AC173" t="s">
        <v>1407</v>
      </c>
    </row>
    <row r="174" spans="27:29" x14ac:dyDescent="0.35">
      <c r="AA174" t="s">
        <v>1408</v>
      </c>
      <c r="AB174" t="s">
        <v>1409</v>
      </c>
      <c r="AC174" t="s">
        <v>1410</v>
      </c>
    </row>
    <row r="175" spans="27:29" x14ac:dyDescent="0.35">
      <c r="AA175" t="s">
        <v>829</v>
      </c>
      <c r="AB175" t="s">
        <v>1411</v>
      </c>
      <c r="AC175" t="s">
        <v>1412</v>
      </c>
    </row>
    <row r="176" spans="27:29" x14ac:dyDescent="0.35">
      <c r="AA176" t="s">
        <v>1413</v>
      </c>
      <c r="AB176" t="s">
        <v>1414</v>
      </c>
      <c r="AC176" t="s">
        <v>1415</v>
      </c>
    </row>
    <row r="177" spans="27:29" x14ac:dyDescent="0.35">
      <c r="AA177" t="s">
        <v>1416</v>
      </c>
      <c r="AB177" t="s">
        <v>1417</v>
      </c>
      <c r="AC177" t="s">
        <v>1418</v>
      </c>
    </row>
    <row r="178" spans="27:29" x14ac:dyDescent="0.35">
      <c r="AA178" t="s">
        <v>1419</v>
      </c>
      <c r="AB178" t="s">
        <v>1420</v>
      </c>
      <c r="AC178" t="s">
        <v>1421</v>
      </c>
    </row>
    <row r="179" spans="27:29" x14ac:dyDescent="0.35">
      <c r="AA179" t="s">
        <v>1422</v>
      </c>
      <c r="AB179" t="s">
        <v>1423</v>
      </c>
      <c r="AC179" t="s">
        <v>1424</v>
      </c>
    </row>
    <row r="180" spans="27:29" x14ac:dyDescent="0.35">
      <c r="AA180" t="s">
        <v>1425</v>
      </c>
      <c r="AB180" t="s">
        <v>1426</v>
      </c>
      <c r="AC180" t="s">
        <v>1427</v>
      </c>
    </row>
    <row r="181" spans="27:29" x14ac:dyDescent="0.35">
      <c r="AA181" t="s">
        <v>1428</v>
      </c>
      <c r="AB181" t="s">
        <v>1429</v>
      </c>
      <c r="AC181" t="s">
        <v>1430</v>
      </c>
    </row>
    <row r="182" spans="27:29" x14ac:dyDescent="0.35">
      <c r="AA182" t="s">
        <v>932</v>
      </c>
      <c r="AB182" t="s">
        <v>1431</v>
      </c>
      <c r="AC182" t="s">
        <v>1432</v>
      </c>
    </row>
    <row r="183" spans="27:29" x14ac:dyDescent="0.35">
      <c r="AA183" t="s">
        <v>931</v>
      </c>
      <c r="AB183" t="s">
        <v>1433</v>
      </c>
      <c r="AC183" t="s">
        <v>1434</v>
      </c>
    </row>
    <row r="184" spans="27:29" x14ac:dyDescent="0.35">
      <c r="AA184" t="s">
        <v>1435</v>
      </c>
      <c r="AB184" t="s">
        <v>1436</v>
      </c>
      <c r="AC184" t="s">
        <v>1437</v>
      </c>
    </row>
    <row r="185" spans="27:29" x14ac:dyDescent="0.35">
      <c r="AA185" t="s">
        <v>1438</v>
      </c>
      <c r="AB185" t="s">
        <v>1439</v>
      </c>
      <c r="AC185" t="s">
        <v>1440</v>
      </c>
    </row>
    <row r="186" spans="27:29" x14ac:dyDescent="0.35">
      <c r="AA186" t="s">
        <v>1441</v>
      </c>
      <c r="AB186" t="s">
        <v>1442</v>
      </c>
      <c r="AC186" t="s">
        <v>1443</v>
      </c>
    </row>
    <row r="187" spans="27:29" x14ac:dyDescent="0.35">
      <c r="AA187" t="s">
        <v>1444</v>
      </c>
      <c r="AB187" t="s">
        <v>1445</v>
      </c>
      <c r="AC187" t="s">
        <v>1446</v>
      </c>
    </row>
    <row r="188" spans="27:29" x14ac:dyDescent="0.35">
      <c r="AA188" t="s">
        <v>1447</v>
      </c>
      <c r="AB188" t="s">
        <v>1448</v>
      </c>
      <c r="AC188" t="s">
        <v>1449</v>
      </c>
    </row>
    <row r="189" spans="27:29" x14ac:dyDescent="0.35">
      <c r="AA189" t="s">
        <v>1450</v>
      </c>
      <c r="AB189" t="s">
        <v>1451</v>
      </c>
      <c r="AC189" t="s">
        <v>1452</v>
      </c>
    </row>
    <row r="190" spans="27:29" x14ac:dyDescent="0.35">
      <c r="AA190" t="s">
        <v>1453</v>
      </c>
      <c r="AB190" t="s">
        <v>1454</v>
      </c>
      <c r="AC190" t="s">
        <v>1455</v>
      </c>
    </row>
    <row r="191" spans="27:29" x14ac:dyDescent="0.35">
      <c r="AA191" t="s">
        <v>1456</v>
      </c>
      <c r="AB191" t="s">
        <v>1457</v>
      </c>
      <c r="AC191" t="s">
        <v>1458</v>
      </c>
    </row>
    <row r="192" spans="27:29" x14ac:dyDescent="0.35">
      <c r="AA192" t="s">
        <v>1459</v>
      </c>
      <c r="AB192" t="s">
        <v>1460</v>
      </c>
      <c r="AC192" t="s">
        <v>1461</v>
      </c>
    </row>
    <row r="193" spans="27:29" x14ac:dyDescent="0.35">
      <c r="AA193" t="s">
        <v>1462</v>
      </c>
      <c r="AB193" t="s">
        <v>1463</v>
      </c>
      <c r="AC193" t="s">
        <v>1464</v>
      </c>
    </row>
    <row r="194" spans="27:29" x14ac:dyDescent="0.35">
      <c r="AA194" t="s">
        <v>1465</v>
      </c>
      <c r="AB194" t="s">
        <v>1466</v>
      </c>
      <c r="AC194" t="s">
        <v>1467</v>
      </c>
    </row>
    <row r="195" spans="27:29" x14ac:dyDescent="0.35">
      <c r="AA195" t="s">
        <v>1468</v>
      </c>
      <c r="AB195" t="s">
        <v>1469</v>
      </c>
      <c r="AC195" t="s">
        <v>1470</v>
      </c>
    </row>
    <row r="196" spans="27:29" x14ac:dyDescent="0.35">
      <c r="AA196" t="s">
        <v>884</v>
      </c>
      <c r="AB196" t="s">
        <v>181</v>
      </c>
      <c r="AC196" t="s">
        <v>1471</v>
      </c>
    </row>
    <row r="197" spans="27:29" x14ac:dyDescent="0.35">
      <c r="AA197" t="s">
        <v>1472</v>
      </c>
      <c r="AB197" t="s">
        <v>1473</v>
      </c>
      <c r="AC197" t="s">
        <v>1474</v>
      </c>
    </row>
    <row r="198" spans="27:29" x14ac:dyDescent="0.35">
      <c r="AA198" t="s">
        <v>1475</v>
      </c>
      <c r="AB198" t="s">
        <v>1476</v>
      </c>
      <c r="AC198" t="s">
        <v>1477</v>
      </c>
    </row>
    <row r="199" spans="27:29" x14ac:dyDescent="0.35">
      <c r="AA199" t="s">
        <v>1478</v>
      </c>
      <c r="AB199" t="s">
        <v>1479</v>
      </c>
      <c r="AC199" t="s">
        <v>1480</v>
      </c>
    </row>
    <row r="200" spans="27:29" x14ac:dyDescent="0.35">
      <c r="AA200" t="s">
        <v>1481</v>
      </c>
      <c r="AB200" t="s">
        <v>1482</v>
      </c>
      <c r="AC200" t="s">
        <v>1483</v>
      </c>
    </row>
    <row r="201" spans="27:29" x14ac:dyDescent="0.35">
      <c r="AA201" t="s">
        <v>908</v>
      </c>
      <c r="AB201" t="s">
        <v>1484</v>
      </c>
      <c r="AC201" t="s">
        <v>1485</v>
      </c>
    </row>
    <row r="202" spans="27:29" x14ac:dyDescent="0.35">
      <c r="AA202" t="s">
        <v>1486</v>
      </c>
      <c r="AB202" t="s">
        <v>1487</v>
      </c>
      <c r="AC202" t="s">
        <v>1488</v>
      </c>
    </row>
    <row r="203" spans="27:29" x14ac:dyDescent="0.35">
      <c r="AA203" t="s">
        <v>1489</v>
      </c>
      <c r="AB203" t="s">
        <v>1490</v>
      </c>
      <c r="AC203" t="s">
        <v>1491</v>
      </c>
    </row>
    <row r="204" spans="27:29" x14ac:dyDescent="0.35">
      <c r="AA204" t="s">
        <v>1492</v>
      </c>
      <c r="AB204" t="s">
        <v>1493</v>
      </c>
      <c r="AC204" t="s">
        <v>1494</v>
      </c>
    </row>
    <row r="205" spans="27:29" x14ac:dyDescent="0.35">
      <c r="AA205" t="s">
        <v>1495</v>
      </c>
      <c r="AB205" t="s">
        <v>1496</v>
      </c>
      <c r="AC205" t="s">
        <v>1497</v>
      </c>
    </row>
    <row r="206" spans="27:29" x14ac:dyDescent="0.35">
      <c r="AA206" t="s">
        <v>1498</v>
      </c>
      <c r="AB206" t="s">
        <v>1499</v>
      </c>
      <c r="AC206" t="s">
        <v>1500</v>
      </c>
    </row>
    <row r="207" spans="27:29" x14ac:dyDescent="0.35">
      <c r="AA207" t="s">
        <v>1501</v>
      </c>
      <c r="AB207" t="s">
        <v>1502</v>
      </c>
      <c r="AC207" t="s">
        <v>1503</v>
      </c>
    </row>
    <row r="208" spans="27:29" x14ac:dyDescent="0.35">
      <c r="AA208" t="s">
        <v>1504</v>
      </c>
      <c r="AB208" t="s">
        <v>1505</v>
      </c>
      <c r="AC208" t="s">
        <v>1506</v>
      </c>
    </row>
    <row r="209" spans="27:29" x14ac:dyDescent="0.35">
      <c r="AA209" t="s">
        <v>1507</v>
      </c>
      <c r="AB209" t="s">
        <v>1508</v>
      </c>
      <c r="AC209" t="s">
        <v>1509</v>
      </c>
    </row>
    <row r="210" spans="27:29" x14ac:dyDescent="0.35">
      <c r="AA210" t="s">
        <v>892</v>
      </c>
      <c r="AB210" t="s">
        <v>1510</v>
      </c>
      <c r="AC210" t="s">
        <v>1511</v>
      </c>
    </row>
    <row r="211" spans="27:29" x14ac:dyDescent="0.35">
      <c r="AA211" t="s">
        <v>1512</v>
      </c>
      <c r="AB211" t="s">
        <v>1513</v>
      </c>
      <c r="AC211" t="s">
        <v>1514</v>
      </c>
    </row>
    <row r="212" spans="27:29" x14ac:dyDescent="0.35">
      <c r="AA212" t="s">
        <v>1635</v>
      </c>
      <c r="AB212" t="s">
        <v>1515</v>
      </c>
      <c r="AC212" t="s">
        <v>1516</v>
      </c>
    </row>
    <row r="213" spans="27:29" x14ac:dyDescent="0.35">
      <c r="AA213" t="s">
        <v>1517</v>
      </c>
      <c r="AB213" t="s">
        <v>1518</v>
      </c>
      <c r="AC213" t="s">
        <v>1519</v>
      </c>
    </row>
    <row r="214" spans="27:29" x14ac:dyDescent="0.35">
      <c r="AA214" t="s">
        <v>1520</v>
      </c>
      <c r="AB214" t="s">
        <v>1521</v>
      </c>
      <c r="AC214" t="s">
        <v>1522</v>
      </c>
    </row>
    <row r="215" spans="27:29" x14ac:dyDescent="0.35">
      <c r="AA215" t="s">
        <v>882</v>
      </c>
      <c r="AB215" t="s">
        <v>1523</v>
      </c>
      <c r="AC215" t="s">
        <v>1524</v>
      </c>
    </row>
    <row r="216" spans="27:29" x14ac:dyDescent="0.35">
      <c r="AA216" t="s">
        <v>923</v>
      </c>
      <c r="AB216" t="s">
        <v>1525</v>
      </c>
      <c r="AC216" t="s">
        <v>1526</v>
      </c>
    </row>
    <row r="217" spans="27:29" x14ac:dyDescent="0.35">
      <c r="AA217" t="s">
        <v>1527</v>
      </c>
      <c r="AB217" t="s">
        <v>1528</v>
      </c>
      <c r="AC217" t="s">
        <v>1529</v>
      </c>
    </row>
    <row r="218" spans="27:29" x14ac:dyDescent="0.35">
      <c r="AA218" t="s">
        <v>1530</v>
      </c>
      <c r="AB218" t="s">
        <v>1531</v>
      </c>
      <c r="AC218" t="s">
        <v>1532</v>
      </c>
    </row>
    <row r="219" spans="27:29" x14ac:dyDescent="0.35">
      <c r="AA219" t="s">
        <v>1533</v>
      </c>
      <c r="AB219" t="s">
        <v>1534</v>
      </c>
      <c r="AC219" t="s">
        <v>1535</v>
      </c>
    </row>
    <row r="220" spans="27:29" x14ac:dyDescent="0.35">
      <c r="AA220" t="s">
        <v>1536</v>
      </c>
      <c r="AB220" t="s">
        <v>1537</v>
      </c>
      <c r="AC220" t="s">
        <v>1538</v>
      </c>
    </row>
    <row r="221" spans="27:29" x14ac:dyDescent="0.35">
      <c r="AA221" t="s">
        <v>1539</v>
      </c>
      <c r="AB221" t="s">
        <v>1540</v>
      </c>
      <c r="AC221" t="s">
        <v>1541</v>
      </c>
    </row>
    <row r="222" spans="27:29" x14ac:dyDescent="0.35">
      <c r="AA222" t="s">
        <v>1542</v>
      </c>
      <c r="AB222" t="s">
        <v>1543</v>
      </c>
      <c r="AC222" t="s">
        <v>1544</v>
      </c>
    </row>
    <row r="223" spans="27:29" x14ac:dyDescent="0.35">
      <c r="AA223" t="s">
        <v>1545</v>
      </c>
      <c r="AB223" t="s">
        <v>1546</v>
      </c>
      <c r="AC223" t="s">
        <v>1547</v>
      </c>
    </row>
    <row r="224" spans="27:29" x14ac:dyDescent="0.35">
      <c r="AA224" t="s">
        <v>1548</v>
      </c>
      <c r="AB224" t="s">
        <v>1549</v>
      </c>
      <c r="AC224" t="s">
        <v>1550</v>
      </c>
    </row>
    <row r="225" spans="27:29" x14ac:dyDescent="0.35">
      <c r="AA225" t="s">
        <v>1551</v>
      </c>
      <c r="AB225" t="s">
        <v>645</v>
      </c>
      <c r="AC225" t="s">
        <v>1552</v>
      </c>
    </row>
    <row r="226" spans="27:29" x14ac:dyDescent="0.35">
      <c r="AA226" t="s">
        <v>1553</v>
      </c>
      <c r="AB226" t="s">
        <v>1554</v>
      </c>
      <c r="AC226" t="s">
        <v>1555</v>
      </c>
    </row>
    <row r="227" spans="27:29" x14ac:dyDescent="0.35">
      <c r="AA227" t="s">
        <v>1556</v>
      </c>
      <c r="AB227" t="s">
        <v>1557</v>
      </c>
      <c r="AC227" t="s">
        <v>1558</v>
      </c>
    </row>
    <row r="228" spans="27:29" x14ac:dyDescent="0.35">
      <c r="AA228" t="s">
        <v>1559</v>
      </c>
      <c r="AB228" t="s">
        <v>1560</v>
      </c>
      <c r="AC228" t="s">
        <v>1561</v>
      </c>
    </row>
    <row r="229" spans="27:29" x14ac:dyDescent="0.35">
      <c r="AA229" t="s">
        <v>1562</v>
      </c>
      <c r="AB229" t="s">
        <v>886</v>
      </c>
      <c r="AC229" t="s">
        <v>1563</v>
      </c>
    </row>
    <row r="230" spans="27:29" x14ac:dyDescent="0.35">
      <c r="AA230" t="s">
        <v>1634</v>
      </c>
      <c r="AB230" t="s">
        <v>1564</v>
      </c>
      <c r="AC230" t="s">
        <v>1565</v>
      </c>
    </row>
    <row r="231" spans="27:29" x14ac:dyDescent="0.35">
      <c r="AA231" t="s">
        <v>1566</v>
      </c>
      <c r="AB231" t="s">
        <v>1567</v>
      </c>
      <c r="AC231" t="s">
        <v>1568</v>
      </c>
    </row>
    <row r="232" spans="27:29" x14ac:dyDescent="0.35">
      <c r="AA232" t="s">
        <v>1569</v>
      </c>
      <c r="AB232" t="s">
        <v>1570</v>
      </c>
      <c r="AC232" t="s">
        <v>1571</v>
      </c>
    </row>
    <row r="233" spans="27:29" x14ac:dyDescent="0.35">
      <c r="AA233" t="s">
        <v>895</v>
      </c>
      <c r="AB233" t="s">
        <v>1572</v>
      </c>
      <c r="AC233" t="s">
        <v>1573</v>
      </c>
    </row>
    <row r="234" spans="27:29" x14ac:dyDescent="0.35">
      <c r="AA234" t="s">
        <v>1633</v>
      </c>
      <c r="AB234" t="s">
        <v>1574</v>
      </c>
      <c r="AC234" t="s">
        <v>1575</v>
      </c>
    </row>
    <row r="235" spans="27:29" x14ac:dyDescent="0.35">
      <c r="AA235" t="s">
        <v>911</v>
      </c>
      <c r="AB235" t="s">
        <v>1576</v>
      </c>
      <c r="AC235" t="s">
        <v>1577</v>
      </c>
    </row>
    <row r="236" spans="27:29" x14ac:dyDescent="0.35">
      <c r="AA236" t="s">
        <v>1646</v>
      </c>
      <c r="AB236" t="s">
        <v>1576</v>
      </c>
      <c r="AC236" t="s">
        <v>1577</v>
      </c>
    </row>
    <row r="237" spans="27:29" x14ac:dyDescent="0.35">
      <c r="AA237" t="s">
        <v>1632</v>
      </c>
      <c r="AB237" t="s">
        <v>1578</v>
      </c>
      <c r="AC237" t="s">
        <v>1579</v>
      </c>
    </row>
    <row r="238" spans="27:29" x14ac:dyDescent="0.35">
      <c r="AA238" t="s">
        <v>881</v>
      </c>
      <c r="AB238" t="s">
        <v>1580</v>
      </c>
      <c r="AC238" t="s">
        <v>1581</v>
      </c>
    </row>
    <row r="239" spans="27:29" x14ac:dyDescent="0.35">
      <c r="AA239" t="s">
        <v>1631</v>
      </c>
      <c r="AB239" t="s">
        <v>1580</v>
      </c>
      <c r="AC239" t="s">
        <v>1581</v>
      </c>
    </row>
    <row r="240" spans="27:29" x14ac:dyDescent="0.35">
      <c r="AA240" t="s">
        <v>1582</v>
      </c>
      <c r="AB240" t="s">
        <v>1583</v>
      </c>
      <c r="AC240" t="s">
        <v>1584</v>
      </c>
    </row>
    <row r="241" spans="27:29" x14ac:dyDescent="0.35">
      <c r="AA241" t="s">
        <v>1585</v>
      </c>
      <c r="AB241" t="s">
        <v>1586</v>
      </c>
      <c r="AC241" t="s">
        <v>1587</v>
      </c>
    </row>
    <row r="242" spans="27:29" x14ac:dyDescent="0.35">
      <c r="AA242" t="s">
        <v>1588</v>
      </c>
      <c r="AB242" t="s">
        <v>1589</v>
      </c>
      <c r="AC242" t="s">
        <v>1590</v>
      </c>
    </row>
    <row r="243" spans="27:29" x14ac:dyDescent="0.35">
      <c r="AA243" t="s">
        <v>1591</v>
      </c>
      <c r="AB243" t="s">
        <v>1592</v>
      </c>
      <c r="AC243" t="s">
        <v>1593</v>
      </c>
    </row>
    <row r="244" spans="27:29" x14ac:dyDescent="0.35">
      <c r="AA244" t="s">
        <v>933</v>
      </c>
      <c r="AB244" t="s">
        <v>1594</v>
      </c>
      <c r="AC244" t="s">
        <v>1595</v>
      </c>
    </row>
    <row r="245" spans="27:29" x14ac:dyDescent="0.35">
      <c r="AA245" t="s">
        <v>1596</v>
      </c>
      <c r="AB245" t="s">
        <v>1597</v>
      </c>
      <c r="AC245" t="s">
        <v>1598</v>
      </c>
    </row>
    <row r="246" spans="27:29" x14ac:dyDescent="0.35">
      <c r="AA246" t="s">
        <v>1599</v>
      </c>
      <c r="AB246" t="s">
        <v>1600</v>
      </c>
      <c r="AC246" t="s">
        <v>1601</v>
      </c>
    </row>
    <row r="247" spans="27:29" x14ac:dyDescent="0.35">
      <c r="AA247" t="s">
        <v>1602</v>
      </c>
      <c r="AB247" t="s">
        <v>1603</v>
      </c>
      <c r="AC247" t="s">
        <v>1604</v>
      </c>
    </row>
    <row r="248" spans="27:29" x14ac:dyDescent="0.35">
      <c r="AA248" t="s">
        <v>1605</v>
      </c>
      <c r="AB248" t="s">
        <v>1606</v>
      </c>
      <c r="AC248" t="s">
        <v>1607</v>
      </c>
    </row>
    <row r="249" spans="27:29" x14ac:dyDescent="0.35">
      <c r="AA249" t="s">
        <v>1608</v>
      </c>
      <c r="AB249" t="s">
        <v>1609</v>
      </c>
      <c r="AC249" t="s">
        <v>1610</v>
      </c>
    </row>
    <row r="250" spans="27:29" x14ac:dyDescent="0.35">
      <c r="AA250" t="s">
        <v>1611</v>
      </c>
      <c r="AB250" t="s">
        <v>1612</v>
      </c>
      <c r="AC250" t="s">
        <v>1613</v>
      </c>
    </row>
    <row r="251" spans="27:29" x14ac:dyDescent="0.35">
      <c r="AA251" t="s">
        <v>1614</v>
      </c>
      <c r="AB251" t="s">
        <v>1615</v>
      </c>
      <c r="AC251" t="s">
        <v>1616</v>
      </c>
    </row>
    <row r="252" spans="27:29" x14ac:dyDescent="0.35">
      <c r="AA252" t="s">
        <v>1617</v>
      </c>
      <c r="AB252" t="s">
        <v>1618</v>
      </c>
      <c r="AC252" t="s">
        <v>1619</v>
      </c>
    </row>
  </sheetData>
  <autoFilter ref="AA1:AC250" xr:uid="{033BF909-8EA4-46E8-9D05-999D450020A6}"/>
  <hyperlinks>
    <hyperlink ref="D27" r:id="rId1" xr:uid="{B06BFA33-C52D-4F28-9605-75DA2D6DE20F}"/>
    <hyperlink ref="D8" r:id="rId2" xr:uid="{834277CD-3A25-41FE-80AB-DE564368B3A7}"/>
    <hyperlink ref="D25" r:id="rId3" xr:uid="{50BC35AF-9653-473B-8D93-C42C8196D5DC}"/>
    <hyperlink ref="D11" r:id="rId4" xr:uid="{99216FD1-AFC2-4717-A190-A680CE85F262}"/>
    <hyperlink ref="D21" r:id="rId5" xr:uid="{EC26021E-BB08-49C2-A2D7-062ACAFBA97E}"/>
    <hyperlink ref="D4" r:id="rId6" xr:uid="{06D8C304-FA3B-428E-972C-53AB18D85F21}"/>
    <hyperlink ref="D2" r:id="rId7" xr:uid="{FBD09B6E-79DD-4839-BB44-A29B8446FBC7}"/>
    <hyperlink ref="D12" r:id="rId8" xr:uid="{89A4A053-F5A9-4A9A-9FE0-E9E1EF8C12BB}"/>
    <hyperlink ref="D26" r:id="rId9" xr:uid="{7DD72192-619E-4E23-91C3-E0025C55047D}"/>
    <hyperlink ref="D29" r:id="rId10" xr:uid="{E777B9E1-28D6-4113-927A-AF8F3315ABB8}"/>
    <hyperlink ref="D28" r:id="rId11" xr:uid="{3BF571B4-3105-4CAD-A43E-5792097D8A48}"/>
  </hyperlinks>
  <pageMargins left="0.7" right="0.7" top="0.75" bottom="0.75" header="0.3" footer="0.3"/>
  <pageSetup orientation="portrait" horizontalDpi="1200" verticalDpi="1200"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4BE26-062C-44B8-89BE-F44FCD2859EE}">
  <sheetPr codeName="Sheet8"/>
  <dimension ref="B1:AP61"/>
  <sheetViews>
    <sheetView zoomScale="80" zoomScaleNormal="80" workbookViewId="0">
      <pane xSplit="9" ySplit="2" topLeftCell="M3" activePane="bottomRight" state="frozen"/>
      <selection pane="topRight" activeCell="I1" sqref="I1"/>
      <selection pane="bottomLeft" activeCell="A3" sqref="A3"/>
      <selection pane="bottomRight" activeCell="I3" sqref="I3:I22"/>
    </sheetView>
  </sheetViews>
  <sheetFormatPr defaultRowHeight="14.5" x14ac:dyDescent="0.35"/>
  <cols>
    <col min="1" max="1" width="5" customWidth="1"/>
    <col min="2" max="5" width="6.81640625" customWidth="1"/>
    <col min="6" max="6" width="3.81640625" bestFit="1" customWidth="1"/>
    <col min="7" max="7" width="7.6328125" bestFit="1" customWidth="1"/>
    <col min="8" max="8" width="4.54296875" bestFit="1" customWidth="1"/>
    <col min="9" max="9" width="15.26953125" customWidth="1"/>
    <col min="10" max="10" width="11" bestFit="1" customWidth="1"/>
    <col min="11" max="11" width="8.1796875" bestFit="1" customWidth="1"/>
    <col min="12" max="12" width="10.08984375" bestFit="1" customWidth="1"/>
    <col min="13" max="13" width="7.81640625" customWidth="1"/>
    <col min="14" max="14" width="4" customWidth="1"/>
    <col min="15" max="16" width="4.54296875" style="77" customWidth="1"/>
    <col min="17" max="17" width="5.26953125" style="77" customWidth="1"/>
    <col min="18" max="18" width="4.54296875" style="77" customWidth="1"/>
    <col min="19" max="20" width="4.26953125" style="77" customWidth="1"/>
    <col min="21" max="22" width="4.90625" style="77" customWidth="1"/>
    <col min="23" max="23" width="5.1796875" style="77" bestFit="1" customWidth="1"/>
    <col min="24" max="26" width="4.54296875" style="77" customWidth="1"/>
    <col min="27" max="28" width="5.453125" style="77" customWidth="1"/>
    <col min="29" max="34" width="5.36328125" style="77" customWidth="1"/>
    <col min="35" max="35" width="5.6328125" style="77" customWidth="1"/>
    <col min="36" max="38" width="5.6328125" customWidth="1"/>
    <col min="39" max="39" width="4.90625" customWidth="1"/>
    <col min="40" max="40" width="5.7265625" customWidth="1"/>
    <col min="41" max="41" width="3" customWidth="1"/>
    <col min="42" max="42" width="6.08984375" customWidth="1"/>
  </cols>
  <sheetData>
    <row r="1" spans="2:42" ht="54.5" customHeight="1" x14ac:dyDescent="0.35">
      <c r="B1" s="277" t="s">
        <v>174</v>
      </c>
      <c r="C1" s="277"/>
      <c r="D1" s="277"/>
      <c r="E1" s="277"/>
      <c r="F1" s="278" t="s">
        <v>174</v>
      </c>
      <c r="G1" s="278"/>
      <c r="H1" s="278"/>
      <c r="I1" s="44"/>
      <c r="J1" s="279" t="s">
        <v>175</v>
      </c>
      <c r="K1" s="279"/>
      <c r="L1" s="279"/>
      <c r="M1" s="279"/>
      <c r="N1" s="45"/>
      <c r="O1" s="262" t="s">
        <v>855</v>
      </c>
      <c r="P1" s="263"/>
      <c r="Q1" s="262" t="s">
        <v>17</v>
      </c>
      <c r="R1" s="263"/>
      <c r="S1" s="262" t="s">
        <v>18</v>
      </c>
      <c r="T1" s="263"/>
      <c r="U1" s="267" t="s">
        <v>23</v>
      </c>
      <c r="V1" s="268"/>
      <c r="W1" s="262" t="s">
        <v>860</v>
      </c>
      <c r="X1" s="269"/>
      <c r="Y1" s="273" t="s">
        <v>224</v>
      </c>
      <c r="Z1" s="274"/>
      <c r="AA1" s="262" t="s">
        <v>21</v>
      </c>
      <c r="AB1" s="263"/>
      <c r="AC1" s="269" t="s">
        <v>209</v>
      </c>
      <c r="AD1" s="269"/>
      <c r="AE1" s="262" t="s">
        <v>222</v>
      </c>
      <c r="AF1" s="263"/>
      <c r="AG1" s="262" t="s">
        <v>610</v>
      </c>
      <c r="AH1" s="263"/>
      <c r="AI1" s="267" t="s">
        <v>249</v>
      </c>
      <c r="AJ1" s="268"/>
      <c r="AK1" s="267" t="s">
        <v>355</v>
      </c>
      <c r="AL1" s="268"/>
      <c r="AM1" s="267" t="s">
        <v>250</v>
      </c>
      <c r="AN1" s="268"/>
      <c r="AO1" s="266"/>
    </row>
    <row r="2" spans="2:42" x14ac:dyDescent="0.35">
      <c r="B2" s="46" t="s">
        <v>859</v>
      </c>
      <c r="C2" s="46" t="s">
        <v>176</v>
      </c>
      <c r="D2" s="46" t="s">
        <v>177</v>
      </c>
      <c r="E2" s="46" t="s">
        <v>178</v>
      </c>
      <c r="F2" s="47" t="s">
        <v>179</v>
      </c>
      <c r="G2" s="47" t="s">
        <v>180</v>
      </c>
      <c r="H2" s="47" t="s">
        <v>181</v>
      </c>
      <c r="I2" s="48" t="s">
        <v>182</v>
      </c>
      <c r="J2" s="103" t="s">
        <v>22</v>
      </c>
      <c r="K2" s="103" t="s">
        <v>12</v>
      </c>
      <c r="L2" s="103" t="s">
        <v>34</v>
      </c>
      <c r="M2" s="103" t="s">
        <v>628</v>
      </c>
      <c r="N2" s="45"/>
      <c r="O2" s="78" t="s">
        <v>205</v>
      </c>
      <c r="P2" s="79" t="s">
        <v>206</v>
      </c>
      <c r="Q2" s="78" t="s">
        <v>205</v>
      </c>
      <c r="R2" s="79" t="s">
        <v>206</v>
      </c>
      <c r="S2" s="78" t="s">
        <v>205</v>
      </c>
      <c r="T2" s="79" t="s">
        <v>206</v>
      </c>
      <c r="U2" s="78" t="s">
        <v>205</v>
      </c>
      <c r="V2" s="79" t="s">
        <v>206</v>
      </c>
      <c r="W2" s="80" t="s">
        <v>205</v>
      </c>
      <c r="X2" s="80" t="s">
        <v>206</v>
      </c>
      <c r="Y2" s="78" t="s">
        <v>205</v>
      </c>
      <c r="Z2" s="79" t="s">
        <v>206</v>
      </c>
      <c r="AA2" s="78" t="s">
        <v>205</v>
      </c>
      <c r="AB2" s="79" t="s">
        <v>206</v>
      </c>
      <c r="AC2" s="80" t="s">
        <v>205</v>
      </c>
      <c r="AD2" s="80" t="s">
        <v>206</v>
      </c>
      <c r="AE2" s="78" t="s">
        <v>205</v>
      </c>
      <c r="AF2" s="79" t="s">
        <v>206</v>
      </c>
      <c r="AG2" s="80" t="s">
        <v>205</v>
      </c>
      <c r="AH2" s="80" t="s">
        <v>206</v>
      </c>
      <c r="AI2" s="78" t="s">
        <v>205</v>
      </c>
      <c r="AJ2" s="81" t="s">
        <v>206</v>
      </c>
      <c r="AK2" s="101" t="s">
        <v>205</v>
      </c>
      <c r="AL2" s="81" t="s">
        <v>206</v>
      </c>
      <c r="AM2" s="101" t="s">
        <v>205</v>
      </c>
      <c r="AN2" s="81" t="s">
        <v>206</v>
      </c>
      <c r="AO2" s="266"/>
    </row>
    <row r="3" spans="2:42" x14ac:dyDescent="0.35">
      <c r="B3" s="50">
        <f>COUNTIFS(DETAILS!A:A,I3,DETAILS!D:D,"Ingress from Privileged Account",DETAILS!H:H,"")</f>
        <v>0</v>
      </c>
      <c r="C3" s="50">
        <f>COUNTIFS(DETAILS!A:A,I3,DETAILS!D:D,"Brute Force*",DETAILS!H:H,"")</f>
        <v>0</v>
      </c>
      <c r="D3" s="50">
        <f>COUNTIFS(DETAILS!A:A,I3,DETAILS!D:D,$AA$2,DETAILS!H:H,"")</f>
        <v>0</v>
      </c>
      <c r="E3" s="50">
        <f>COUNTIFS(DETAILS!A:A,I3,DETAILS!D:D,"Lateral Movement*",DETAILS!H:H,"")</f>
        <v>0</v>
      </c>
      <c r="F3" s="51"/>
      <c r="G3" s="51">
        <f>COUNTIFS(DETAILS!A:A,I3,DETAILS!G:G,"Undecided",DETAILS!D:D,"Account Enabled")+COUNTIFS(DETAILS!A:A,I3,DETAILS!G:G,"Undecided",DETAILS!D:D,"LDAP Admin Added")+COUNTIFS(DETAILS!A:A,I3,DETAILS!G:G,"Undecided",DETAILS!D:D,"Account Password Reset")</f>
        <v>0</v>
      </c>
      <c r="H3" s="52">
        <f>COUNTIFS(DETAILS!A:A,I3,DETAILS!G:G,"Undecided",DETAILS!D:D,"Virus Alert")</f>
        <v>0</v>
      </c>
      <c r="I3" s="53">
        <v>45418</v>
      </c>
      <c r="J3" s="54">
        <f>COUNTIFS(DETAILS!F:F,I3,DETAILS!G:G,"Undecided")</f>
        <v>0</v>
      </c>
      <c r="K3" s="54">
        <f>COUNTIFS(DETAILS!F:F,I3,DETAILS!G:G,"Benign")</f>
        <v>0</v>
      </c>
      <c r="L3" s="54">
        <f>COUNTIFS(DETAILS!F:F,I3,DETAILS!G:G,"Malicious")</f>
        <v>0</v>
      </c>
      <c r="M3" s="54">
        <f>COUNTIFS(DETAILS!F:F,I3,DETAILS!G:G,"Not Applicable")</f>
        <v>0</v>
      </c>
      <c r="N3" s="45"/>
      <c r="O3" s="82">
        <f>COUNTIFS(DETAILS!F:F,I3,DETAILS!D:D,$O$1,DETAILS!G:G,"&lt;&gt;Undecided")</f>
        <v>0</v>
      </c>
      <c r="P3" s="131">
        <f>COUNTIFS(DETAILS!F:F,I3,DETAILS!D:D,$O$1,DETAILS!G:G,"Undecided")</f>
        <v>0</v>
      </c>
      <c r="Q3" s="205">
        <f>COUNTIFS(DETAILS!F:F,I3,DETAILS!D:D,$Q$1,DETAILS!G:G,"&lt;&gt;Undecided")</f>
        <v>0</v>
      </c>
      <c r="R3" s="132">
        <f>COUNTIFS(DETAILS!F:F,I3,DETAILS!D:D,$Q$1,DETAILS!G:G,"Undecided")</f>
        <v>0</v>
      </c>
      <c r="S3" s="82">
        <f>COUNTIFS(DETAILS!F:F,I3,DETAILS!D:D,$S$1,DETAILS!G:G,"&lt;&gt;Undecided")</f>
        <v>0</v>
      </c>
      <c r="T3" s="131">
        <f>COUNTIFS(DETAILS!F:F,I3,DETAILS!D:D,$S$1,DETAILS!G:G,"Undecided")</f>
        <v>0</v>
      </c>
      <c r="U3" s="82">
        <f>COUNTIFS(DETAILS!F:F,I3,DETAILS!D:D,"Brute Force*",DETAILS!G:G,"&lt;&gt;Undecided")</f>
        <v>0</v>
      </c>
      <c r="V3" s="131">
        <f>COUNTIFS(DETAILS!F:F,I3,DETAILS!D:D,"Brute Force*",DETAILS!G:G,"Undecided")</f>
        <v>0</v>
      </c>
      <c r="W3" s="83">
        <f>COUNTIFS(DETAILS!F:F,I3,DETAILS!D:D,$W$1,DETAILS!G:G,"&lt;&gt;Undecided")</f>
        <v>0</v>
      </c>
      <c r="X3" s="132">
        <f>COUNTIFS(DETAILS!F:F,I3,DETAILS!D:D,$W$1,DETAILS!G:G,"Undecided")</f>
        <v>0</v>
      </c>
      <c r="Y3" s="82">
        <f>COUNTIFS(DETAILS!F:F,I3,DETAILS!D:D,$Y$1,DETAILS!G:G,"&lt;&gt;Undecided")</f>
        <v>0</v>
      </c>
      <c r="Z3" s="131">
        <f>COUNTIFS(DETAILS!F:F,I3,DETAILS!D:D,$Y$1,DETAILS!G:G,"Undecided")</f>
        <v>0</v>
      </c>
      <c r="AA3" s="82">
        <f>COUNTIFS(DETAILS!F:F,I3,DETAILS!D:D,$AA$1,DETAILS!G:G,"&lt;&gt;Undecided")</f>
        <v>0</v>
      </c>
      <c r="AB3" s="131">
        <f>COUNTIFS(DETAILS!F:F,I3,DETAILS!D:D,$AA$1,DETAILS!G:G,"Undecided")</f>
        <v>0</v>
      </c>
      <c r="AC3" s="83">
        <f>COUNTIFS(DETAILS!F:F,I3,DETAILS!D:D,$AC$1,DETAILS!G:G,"&lt;&gt;Undecided")</f>
        <v>0</v>
      </c>
      <c r="AD3" s="132">
        <f>COUNTIFS(DETAILS!F:F,I3,DETAILS!D:D,$AC$1,DETAILS!G:G,"Undecided")</f>
        <v>0</v>
      </c>
      <c r="AE3" s="171">
        <f>COUNTIFS(DETAILS!F:F,I3,DETAILS!D:D,$AE$1,DETAILS!G:G,"&lt;&gt;Undecided")</f>
        <v>0</v>
      </c>
      <c r="AF3" s="131">
        <f>COUNTIFS(DETAILS!F:F,I3,DETAILS!D:D,$AE$1,DETAILS!G:G,"Undecided")</f>
        <v>0</v>
      </c>
      <c r="AG3" s="205">
        <f>COUNTIFS(DETAILS!F:F,I3,DETAILS!D:D,"*Linux*",DETAILS!G:G,"&lt;&gt;Undecided")</f>
        <v>0</v>
      </c>
      <c r="AH3" s="132">
        <f>COUNTIFS(DETAILS!F:F,I3,DETAILS!D:D,"*Linux*",DETAILS!G:G,"Undecided")</f>
        <v>0</v>
      </c>
      <c r="AI3" s="82">
        <f>COUNTIFS(DETAILS!F:F,I3,DETAILS!D:D,"*Local Credentials",DETAILS!G:G,"&lt;&gt;Undecided")</f>
        <v>0</v>
      </c>
      <c r="AJ3" s="133">
        <f>COUNTIFS(DETAILS!F:F,I3,DETAILS!D:D,"*Local Credentials",DETAILS!G:G,"Undecided")</f>
        <v>0</v>
      </c>
      <c r="AK3" s="170">
        <f>COUNTIFS(DETAILS!F:F,I3,DETAILS!D:D,"*Administrator Impersonation",DETAILS!G:G,"&lt;&gt;Undecided")</f>
        <v>0</v>
      </c>
      <c r="AL3" s="168">
        <f>COUNTIFS(DETAILS!F:F,I3,DETAILS!D:D,"*Administrator Impersonation",DETAILS!G:G,"Undecided")</f>
        <v>0</v>
      </c>
      <c r="AM3" s="102">
        <f>COUNTIFS(DETAILS!F:F,I3,DETAILS!D:D,"*Service Account",DETAILS!G:G,"&lt;&gt;Undecided")</f>
        <v>0</v>
      </c>
      <c r="AN3" s="133">
        <f>COUNTIFS(DETAILS!F:F,I3,DETAILS!D:D,"*Service Account",DETAILS!G:G,"Undecided")</f>
        <v>0</v>
      </c>
      <c r="AP3" s="45">
        <f>SUM(O3:AN3)</f>
        <v>0</v>
      </c>
    </row>
    <row r="4" spans="2:42" x14ac:dyDescent="0.35">
      <c r="B4" s="50">
        <f>COUNTIFS(DETAILS!A:A,I4,DETAILS!D:D,"Ingress from Privileged Account",DETAILS!H:H,"")</f>
        <v>0</v>
      </c>
      <c r="C4" s="50">
        <f>COUNTIFS(DETAILS!A:A,I4,DETAILS!D:D,"Brute Force*",DETAILS!H:H,"")</f>
        <v>0</v>
      </c>
      <c r="D4" s="50">
        <f>COUNTIFS(DETAILS!A:A,I4,DETAILS!D:D,$AA$2,DETAILS!H:H,"")</f>
        <v>0</v>
      </c>
      <c r="E4" s="50">
        <f>COUNTIFS(DETAILS!A:A,I4,DETAILS!D:D,"Lateral Movement*",DETAILS!H:H,"")</f>
        <v>0</v>
      </c>
      <c r="F4" s="51"/>
      <c r="G4" s="51">
        <f>COUNTIFS(DETAILS!A:A,I4,DETAILS!G:G,"Undecided",DETAILS!D:D,"Account Enabled")+COUNTIFS(DETAILS!A:A,I4,DETAILS!G:G,"Undecided",DETAILS!D:D,"LDAP Admin Added")+COUNTIFS(DETAILS!A:A,I4,DETAILS!G:G,"Undecided",DETAILS!D:D,"Account Password Reset")</f>
        <v>0</v>
      </c>
      <c r="H4" s="52">
        <f>COUNTIFS(DETAILS!A:A,I4,DETAILS!G:G,"Undecided",DETAILS!D:D,"Virus Alert")</f>
        <v>0</v>
      </c>
      <c r="I4" s="53">
        <v>45419</v>
      </c>
      <c r="J4" s="54">
        <f>COUNTIFS(DETAILS!F:F,I4,DETAILS!G:G,"Undecided")</f>
        <v>0</v>
      </c>
      <c r="K4" s="54">
        <f>COUNTIFS(DETAILS!F:F,I4,DETAILS!G:G,"Benign")</f>
        <v>0</v>
      </c>
      <c r="L4" s="54">
        <f>COUNTIFS(DETAILS!F:F,I4,DETAILS!G:G,"Malicious")</f>
        <v>0</v>
      </c>
      <c r="M4" s="54">
        <f>COUNTIFS(DETAILS!F:F,I4,DETAILS!G:G,"Not Applicable")</f>
        <v>0</v>
      </c>
      <c r="N4" s="45"/>
      <c r="O4" s="82">
        <f>COUNTIFS(DETAILS!F:F,I4,DETAILS!D:D,$O$1,DETAILS!G:G,"&lt;&gt;Undecided")</f>
        <v>0</v>
      </c>
      <c r="P4" s="131">
        <f>COUNTIFS(DETAILS!F:F,I4,DETAILS!D:D,$O$1,DETAILS!G:G,"Undecided")</f>
        <v>0</v>
      </c>
      <c r="Q4" s="205">
        <f>COUNTIFS(DETAILS!F:F,I4,DETAILS!D:D,$Q$1,DETAILS!G:G,"&lt;&gt;Undecided")</f>
        <v>0</v>
      </c>
      <c r="R4" s="132">
        <f>COUNTIFS(DETAILS!F:F,I4,DETAILS!D:D,$Q$1,DETAILS!G:G,"Undecided")</f>
        <v>0</v>
      </c>
      <c r="S4" s="82">
        <f>COUNTIFS(DETAILS!F:F,I4,DETAILS!D:D,$S$1,DETAILS!G:G,"&lt;&gt;Undecided")</f>
        <v>0</v>
      </c>
      <c r="T4" s="131">
        <f>COUNTIFS(DETAILS!F:F,I4,DETAILS!D:D,$S$1,DETAILS!G:G,"Undecided")</f>
        <v>0</v>
      </c>
      <c r="U4" s="82">
        <f>COUNTIFS(DETAILS!F:F,I4,DETAILS!D:D,"Brute Force*",DETAILS!G:G,"&lt;&gt;Undecided")</f>
        <v>0</v>
      </c>
      <c r="V4" s="131">
        <f>COUNTIFS(DETAILS!F:F,I4,DETAILS!D:D,"Brute Force*",DETAILS!G:G,"Undecided")</f>
        <v>0</v>
      </c>
      <c r="W4" s="83">
        <f>COUNTIFS(DETAILS!F:F,I4,DETAILS!D:D,$W$1,DETAILS!G:G,"&lt;&gt;Undecided")</f>
        <v>0</v>
      </c>
      <c r="X4" s="132">
        <f>COUNTIFS(DETAILS!F:F,I4,DETAILS!D:D,$W$1,DETAILS!G:G,"Undecided")</f>
        <v>0</v>
      </c>
      <c r="Y4" s="82">
        <f>COUNTIFS(DETAILS!F:F,I4,DETAILS!D:D,$Y$1,DETAILS!G:G,"&lt;&gt;Undecided")</f>
        <v>0</v>
      </c>
      <c r="Z4" s="131">
        <f>COUNTIFS(DETAILS!F:F,I4,DETAILS!D:D,$Y$1,DETAILS!G:G,"Undecided")</f>
        <v>0</v>
      </c>
      <c r="AA4" s="82">
        <f>COUNTIFS(DETAILS!F:F,I4,DETAILS!D:D,$AA$1,DETAILS!G:G,"&lt;&gt;Undecided")</f>
        <v>0</v>
      </c>
      <c r="AB4" s="131">
        <f>COUNTIFS(DETAILS!F:F,I4,DETAILS!D:D,$AA$1,DETAILS!G:G,"Undecided")</f>
        <v>0</v>
      </c>
      <c r="AC4" s="83">
        <f>COUNTIFS(DETAILS!F:F,I4,DETAILS!D:D,$AC$1,DETAILS!G:G,"&lt;&gt;Undecided")</f>
        <v>0</v>
      </c>
      <c r="AD4" s="132">
        <f>COUNTIFS(DETAILS!F:F,I4,DETAILS!D:D,$AC$1,DETAILS!G:G,"Undecided")</f>
        <v>0</v>
      </c>
      <c r="AE4" s="171">
        <f>COUNTIFS(DETAILS!F:F,I4,DETAILS!D:D,$AE$1,DETAILS!G:G,"&lt;&gt;Undecided")</f>
        <v>0</v>
      </c>
      <c r="AF4" s="131">
        <f>COUNTIFS(DETAILS!F:F,I4,DETAILS!D:D,$AE$1,DETAILS!G:G,"Undecided")</f>
        <v>0</v>
      </c>
      <c r="AG4" s="205">
        <f>COUNTIFS(DETAILS!F:F,I4,DETAILS!D:D,"*Linux*",DETAILS!G:G,"&lt;&gt;Undecided")</f>
        <v>0</v>
      </c>
      <c r="AH4" s="132">
        <f>COUNTIFS(DETAILS!F:F,I4,DETAILS!D:D,"*Linux*",DETAILS!G:G,"Undecided")</f>
        <v>0</v>
      </c>
      <c r="AI4" s="82">
        <f>COUNTIFS(DETAILS!F:F,I4,DETAILS!D:D,"*Local Credentials",DETAILS!G:G,"&lt;&gt;Undecided")</f>
        <v>0</v>
      </c>
      <c r="AJ4" s="133">
        <f>COUNTIFS(DETAILS!F:F,I4,DETAILS!D:D,"*Local Credentials",DETAILS!G:G,"Undecided")</f>
        <v>0</v>
      </c>
      <c r="AK4" s="170">
        <f>COUNTIFS(DETAILS!F:F,I4,DETAILS!D:D,"*Administrator Impersonation",DETAILS!G:G,"&lt;&gt;Undecided")</f>
        <v>0</v>
      </c>
      <c r="AL4" s="168">
        <f>COUNTIFS(DETAILS!F:F,I4,DETAILS!D:D,"*Administrator Impersonation",DETAILS!G:G,"Undecided")</f>
        <v>0</v>
      </c>
      <c r="AM4" s="102">
        <f>COUNTIFS(DETAILS!F:F,I4,DETAILS!D:D,"*Service Account",DETAILS!G:G,"&lt;&gt;Undecided")</f>
        <v>0</v>
      </c>
      <c r="AN4" s="133">
        <f>COUNTIFS(DETAILS!F:F,I4,DETAILS!D:D,"*Service Account",DETAILS!G:G,"Undecided")</f>
        <v>0</v>
      </c>
      <c r="AP4" s="45">
        <f t="shared" ref="AP4:AP22" si="0">SUM(O4:AN4)</f>
        <v>0</v>
      </c>
    </row>
    <row r="5" spans="2:42" x14ac:dyDescent="0.35">
      <c r="B5" s="50">
        <f>COUNTIFS(DETAILS!A:A,I5,DETAILS!D:D,"Ingress from Privileged Account",DETAILS!H:H,"")</f>
        <v>0</v>
      </c>
      <c r="C5" s="50">
        <f>COUNTIFS(DETAILS!A:A,I5,DETAILS!D:D,"Brute Force*",DETAILS!H:H,"")</f>
        <v>0</v>
      </c>
      <c r="D5" s="50">
        <f>COUNTIFS(DETAILS!A:A,I5,DETAILS!D:D,$AA$2,DETAILS!H:H,"")</f>
        <v>0</v>
      </c>
      <c r="E5" s="50">
        <f>COUNTIFS(DETAILS!A:A,I5,DETAILS!D:D,"Lateral Movement*",DETAILS!H:H,"")</f>
        <v>0</v>
      </c>
      <c r="F5" s="51"/>
      <c r="G5" s="51">
        <f>COUNTIFS(DETAILS!A:A,I5,DETAILS!G:G,"Undecided",DETAILS!D:D,"Account Enabled")+COUNTIFS(DETAILS!A:A,I5,DETAILS!G:G,"Undecided",DETAILS!D:D,"LDAP Admin Added")+COUNTIFS(DETAILS!A:A,I5,DETAILS!G:G,"Undecided",DETAILS!D:D,"Account Password Reset")</f>
        <v>0</v>
      </c>
      <c r="H5" s="52">
        <f>COUNTIFS(DETAILS!A:A,I5,DETAILS!G:G,"Undecided",DETAILS!D:D,"Virus Alert")</f>
        <v>0</v>
      </c>
      <c r="I5" s="53">
        <v>45420</v>
      </c>
      <c r="J5" s="54">
        <f>COUNTIFS(DETAILS!F:F,I5,DETAILS!G:G,"Undecided")</f>
        <v>0</v>
      </c>
      <c r="K5" s="54">
        <f>COUNTIFS(DETAILS!F:F,I5,DETAILS!G:G,"Benign")</f>
        <v>0</v>
      </c>
      <c r="L5" s="54">
        <f>COUNTIFS(DETAILS!F:F,I5,DETAILS!G:G,"Malicious")</f>
        <v>0</v>
      </c>
      <c r="M5" s="54">
        <f>COUNTIFS(DETAILS!F:F,I5,DETAILS!G:G,"Not Applicable")</f>
        <v>0</v>
      </c>
      <c r="N5" s="45"/>
      <c r="O5" s="82">
        <f>COUNTIFS(DETAILS!F:F,I5,DETAILS!D:D,$O$1,DETAILS!G:G,"&lt;&gt;Undecided")</f>
        <v>0</v>
      </c>
      <c r="P5" s="131">
        <f>COUNTIFS(DETAILS!F:F,I5,DETAILS!D:D,$O$1,DETAILS!G:G,"Undecided")</f>
        <v>0</v>
      </c>
      <c r="Q5" s="205">
        <f>COUNTIFS(DETAILS!F:F,I5,DETAILS!D:D,$Q$1,DETAILS!G:G,"&lt;&gt;Undecided")</f>
        <v>0</v>
      </c>
      <c r="R5" s="132">
        <f>COUNTIFS(DETAILS!F:F,I5,DETAILS!D:D,$Q$1,DETAILS!G:G,"Undecided")</f>
        <v>0</v>
      </c>
      <c r="S5" s="82">
        <f>COUNTIFS(DETAILS!F:F,I5,DETAILS!D:D,$S$1,DETAILS!G:G,"&lt;&gt;Undecided")</f>
        <v>0</v>
      </c>
      <c r="T5" s="131">
        <f>COUNTIFS(DETAILS!F:F,I5,DETAILS!D:D,$S$1,DETAILS!G:G,"Undecided")</f>
        <v>0</v>
      </c>
      <c r="U5" s="82">
        <f>COUNTIFS(DETAILS!F:F,I5,DETAILS!D:D,"Brute Force*",DETAILS!G:G,"&lt;&gt;Undecided")</f>
        <v>0</v>
      </c>
      <c r="V5" s="131">
        <f>COUNTIFS(DETAILS!F:F,I5,DETAILS!D:D,"Brute Force*",DETAILS!G:G,"Undecided")</f>
        <v>0</v>
      </c>
      <c r="W5" s="83">
        <f>COUNTIFS(DETAILS!F:F,I5,DETAILS!D:D,$W$1,DETAILS!G:G,"&lt;&gt;Undecided")</f>
        <v>0</v>
      </c>
      <c r="X5" s="132">
        <f>COUNTIFS(DETAILS!F:F,I5,DETAILS!D:D,$W$1,DETAILS!G:G,"Undecided")</f>
        <v>0</v>
      </c>
      <c r="Y5" s="82">
        <f>COUNTIFS(DETAILS!F:F,I5,DETAILS!D:D,$Y$1,DETAILS!G:G,"&lt;&gt;Undecided")</f>
        <v>0</v>
      </c>
      <c r="Z5" s="131">
        <f>COUNTIFS(DETAILS!F:F,I5,DETAILS!D:D,$Y$1,DETAILS!G:G,"Undecided")</f>
        <v>0</v>
      </c>
      <c r="AA5" s="82">
        <f>COUNTIFS(DETAILS!F:F,I5,DETAILS!D:D,$AA$1,DETAILS!G:G,"&lt;&gt;Undecided")</f>
        <v>0</v>
      </c>
      <c r="AB5" s="131">
        <f>COUNTIFS(DETAILS!F:F,I5,DETAILS!D:D,$AA$1,DETAILS!G:G,"Undecided")</f>
        <v>0</v>
      </c>
      <c r="AC5" s="83">
        <f>COUNTIFS(DETAILS!F:F,I5,DETAILS!D:D,$AC$1,DETAILS!G:G,"&lt;&gt;Undecided")</f>
        <v>0</v>
      </c>
      <c r="AD5" s="132">
        <f>COUNTIFS(DETAILS!F:F,I5,DETAILS!D:D,$AC$1,DETAILS!G:G,"Undecided")</f>
        <v>0</v>
      </c>
      <c r="AE5" s="171">
        <f>COUNTIFS(DETAILS!F:F,I5,DETAILS!D:D,$AE$1,DETAILS!G:G,"&lt;&gt;Undecided")</f>
        <v>0</v>
      </c>
      <c r="AF5" s="131">
        <f>COUNTIFS(DETAILS!F:F,I5,DETAILS!D:D,$AE$1,DETAILS!G:G,"Undecided")</f>
        <v>0</v>
      </c>
      <c r="AG5" s="205">
        <f>COUNTIFS(DETAILS!F:F,I5,DETAILS!D:D,"*Linux*",DETAILS!G:G,"&lt;&gt;Undecided")</f>
        <v>0</v>
      </c>
      <c r="AH5" s="132">
        <f>COUNTIFS(DETAILS!F:F,I5,DETAILS!D:D,"*Linux*",DETAILS!G:G,"Undecided")</f>
        <v>0</v>
      </c>
      <c r="AI5" s="82">
        <f>COUNTIFS(DETAILS!F:F,I5,DETAILS!D:D,"*Local Credentials",DETAILS!G:G,"&lt;&gt;Undecided")</f>
        <v>0</v>
      </c>
      <c r="AJ5" s="133">
        <f>COUNTIFS(DETAILS!F:F,I5,DETAILS!D:D,"*Local Credentials",DETAILS!G:G,"Undecided")</f>
        <v>0</v>
      </c>
      <c r="AK5" s="170">
        <f>COUNTIFS(DETAILS!F:F,I5,DETAILS!D:D,"*Administrator Impersonation",DETAILS!G:G,"&lt;&gt;Undecided")</f>
        <v>0</v>
      </c>
      <c r="AL5" s="168">
        <f>COUNTIFS(DETAILS!F:F,I5,DETAILS!D:D,"*Administrator Impersonation",DETAILS!G:G,"Undecided")</f>
        <v>0</v>
      </c>
      <c r="AM5" s="102">
        <f>COUNTIFS(DETAILS!F:F,I5,DETAILS!D:D,"*Service Account",DETAILS!G:G,"&lt;&gt;Undecided")</f>
        <v>0</v>
      </c>
      <c r="AN5" s="133">
        <f>COUNTIFS(DETAILS!F:F,I5,DETAILS!D:D,"*Service Account",DETAILS!G:G,"Undecided")</f>
        <v>0</v>
      </c>
      <c r="AP5" s="45">
        <f t="shared" si="0"/>
        <v>0</v>
      </c>
    </row>
    <row r="6" spans="2:42" x14ac:dyDescent="0.35">
      <c r="B6" s="50">
        <f>COUNTIFS(DETAILS!A:A,I6,DETAILS!D:D,"Ingress from Privileged Account",DETAILS!H:H,"")</f>
        <v>0</v>
      </c>
      <c r="C6" s="50">
        <f>COUNTIFS(DETAILS!A:A,I6,DETAILS!D:D,"Brute Force*",DETAILS!H:H,"")</f>
        <v>0</v>
      </c>
      <c r="D6" s="50">
        <f>COUNTIFS(DETAILS!A:A,I6,DETAILS!D:D,$AA$2,DETAILS!H:H,"")</f>
        <v>0</v>
      </c>
      <c r="E6" s="50">
        <f>COUNTIFS(DETAILS!A:A,I6,DETAILS!D:D,"Lateral Movement*",DETAILS!H:H,"")</f>
        <v>0</v>
      </c>
      <c r="F6" s="51"/>
      <c r="G6" s="51">
        <f>COUNTIFS(DETAILS!A:A,I6,DETAILS!G:G,"Undecided",DETAILS!D:D,"Account Enabled")+COUNTIFS(DETAILS!A:A,I6,DETAILS!G:G,"Undecided",DETAILS!D:D,"LDAP Admin Added")+COUNTIFS(DETAILS!A:A,I6,DETAILS!G:G,"Undecided",DETAILS!D:D,"Account Password Reset")</f>
        <v>0</v>
      </c>
      <c r="H6" s="52">
        <f>COUNTIFS(DETAILS!A:A,I6,DETAILS!G:G,"Undecided",DETAILS!D:D,"Virus Alert")</f>
        <v>0</v>
      </c>
      <c r="I6" s="53">
        <v>45421</v>
      </c>
      <c r="J6" s="54">
        <f>COUNTIFS(DETAILS!F:F,I6,DETAILS!G:G,"Undecided")</f>
        <v>0</v>
      </c>
      <c r="K6" s="54">
        <f>COUNTIFS(DETAILS!F:F,I6,DETAILS!G:G,"Benign")</f>
        <v>0</v>
      </c>
      <c r="L6" s="54">
        <f>COUNTIFS(DETAILS!F:F,I6,DETAILS!G:G,"Malicious")</f>
        <v>0</v>
      </c>
      <c r="M6" s="54">
        <f>COUNTIFS(DETAILS!F:F,I6,DETAILS!G:G,"Not Applicable")</f>
        <v>0</v>
      </c>
      <c r="N6" s="45"/>
      <c r="O6" s="82">
        <f>COUNTIFS(DETAILS!F:F,I6,DETAILS!D:D,$O$1,DETAILS!G:G,"&lt;&gt;Undecided")</f>
        <v>0</v>
      </c>
      <c r="P6" s="131">
        <f>COUNTIFS(DETAILS!F:F,I6,DETAILS!D:D,$O$1,DETAILS!G:G,"Undecided")</f>
        <v>0</v>
      </c>
      <c r="Q6" s="205">
        <f>COUNTIFS(DETAILS!F:F,I6,DETAILS!D:D,$Q$1,DETAILS!G:G,"&lt;&gt;Undecided")</f>
        <v>0</v>
      </c>
      <c r="R6" s="132">
        <f>COUNTIFS(DETAILS!F:F,I6,DETAILS!D:D,$Q$1,DETAILS!G:G,"Undecided")</f>
        <v>0</v>
      </c>
      <c r="S6" s="82">
        <f>COUNTIFS(DETAILS!F:F,I6,DETAILS!D:D,$S$1,DETAILS!G:G,"&lt;&gt;Undecided")</f>
        <v>0</v>
      </c>
      <c r="T6" s="131">
        <f>COUNTIFS(DETAILS!F:F,I6,DETAILS!D:D,$S$1,DETAILS!G:G,"Undecided")</f>
        <v>0</v>
      </c>
      <c r="U6" s="82">
        <f>COUNTIFS(DETAILS!F:F,I6,DETAILS!D:D,"Brute Force*",DETAILS!G:G,"&lt;&gt;Undecided")</f>
        <v>0</v>
      </c>
      <c r="V6" s="131">
        <f>COUNTIFS(DETAILS!F:F,I6,DETAILS!D:D,"Brute Force*",DETAILS!G:G,"Undecided")</f>
        <v>0</v>
      </c>
      <c r="W6" s="83">
        <f>COUNTIFS(DETAILS!F:F,I6,DETAILS!D:D,$W$1,DETAILS!G:G,"&lt;&gt;Undecided")</f>
        <v>0</v>
      </c>
      <c r="X6" s="132">
        <f>COUNTIFS(DETAILS!F:F,I6,DETAILS!D:D,$W$1,DETAILS!G:G,"Undecided")</f>
        <v>0</v>
      </c>
      <c r="Y6" s="82">
        <f>COUNTIFS(DETAILS!F:F,I6,DETAILS!D:D,$Y$1,DETAILS!G:G,"&lt;&gt;Undecided")</f>
        <v>0</v>
      </c>
      <c r="Z6" s="131">
        <f>COUNTIFS(DETAILS!F:F,I6,DETAILS!D:D,$Y$1,DETAILS!G:G,"Undecided")</f>
        <v>0</v>
      </c>
      <c r="AA6" s="82">
        <f>COUNTIFS(DETAILS!F:F,I6,DETAILS!D:D,$AA$1,DETAILS!G:G,"&lt;&gt;Undecided")</f>
        <v>0</v>
      </c>
      <c r="AB6" s="131">
        <f>COUNTIFS(DETAILS!F:F,I6,DETAILS!D:D,$AA$1,DETAILS!G:G,"Undecided")</f>
        <v>0</v>
      </c>
      <c r="AC6" s="83">
        <f>COUNTIFS(DETAILS!F:F,I6,DETAILS!D:D,$AC$1,DETAILS!G:G,"&lt;&gt;Undecided")</f>
        <v>0</v>
      </c>
      <c r="AD6" s="132">
        <f>COUNTIFS(DETAILS!F:F,I6,DETAILS!D:D,$AC$1,DETAILS!G:G,"Undecided")</f>
        <v>0</v>
      </c>
      <c r="AE6" s="171">
        <f>COUNTIFS(DETAILS!F:F,I6,DETAILS!D:D,$AE$1,DETAILS!G:G,"&lt;&gt;Undecided")</f>
        <v>0</v>
      </c>
      <c r="AF6" s="131">
        <f>COUNTIFS(DETAILS!F:F,I6,DETAILS!D:D,$AE$1,DETAILS!G:G,"Undecided")</f>
        <v>0</v>
      </c>
      <c r="AG6" s="205">
        <f>COUNTIFS(DETAILS!F:F,I6,DETAILS!D:D,"*Linux*",DETAILS!G:G,"&lt;&gt;Undecided")</f>
        <v>0</v>
      </c>
      <c r="AH6" s="132">
        <f>COUNTIFS(DETAILS!F:F,I6,DETAILS!D:D,"*Linux*",DETAILS!G:G,"Undecided")</f>
        <v>0</v>
      </c>
      <c r="AI6" s="82">
        <f>COUNTIFS(DETAILS!F:F,I6,DETAILS!D:D,"*Local Credentials",DETAILS!G:G,"&lt;&gt;Undecided")</f>
        <v>0</v>
      </c>
      <c r="AJ6" s="133">
        <f>COUNTIFS(DETAILS!F:F,I6,DETAILS!D:D,"*Local Credentials",DETAILS!G:G,"Undecided")</f>
        <v>0</v>
      </c>
      <c r="AK6" s="170">
        <f>COUNTIFS(DETAILS!F:F,I6,DETAILS!D:D,"*Administrator Impersonation",DETAILS!G:G,"&lt;&gt;Undecided")</f>
        <v>0</v>
      </c>
      <c r="AL6" s="168">
        <f>COUNTIFS(DETAILS!F:F,I6,DETAILS!D:D,"*Administrator Impersonation",DETAILS!G:G,"Undecided")</f>
        <v>0</v>
      </c>
      <c r="AM6" s="102">
        <f>COUNTIFS(DETAILS!F:F,I6,DETAILS!D:D,"*Service Account",DETAILS!G:G,"&lt;&gt;Undecided")</f>
        <v>0</v>
      </c>
      <c r="AN6" s="133">
        <f>COUNTIFS(DETAILS!F:F,I6,DETAILS!D:D,"*Service Account",DETAILS!G:G,"Undecided")</f>
        <v>0</v>
      </c>
      <c r="AP6" s="45">
        <f t="shared" si="0"/>
        <v>0</v>
      </c>
    </row>
    <row r="7" spans="2:42" x14ac:dyDescent="0.35">
      <c r="B7" s="50">
        <f>COUNTIFS(DETAILS!A:A,I7,DETAILS!D:D,"Ingress from Privileged Account",DETAILS!H:H,"")</f>
        <v>0</v>
      </c>
      <c r="C7" s="50">
        <f>COUNTIFS(DETAILS!A:A,I7,DETAILS!D:D,"Brute Force*",DETAILS!H:H,"")</f>
        <v>0</v>
      </c>
      <c r="D7" s="50">
        <f>COUNTIFS(DETAILS!A:A,I7,DETAILS!D:D,$AA$2,DETAILS!H:H,"")</f>
        <v>0</v>
      </c>
      <c r="E7" s="50">
        <f>COUNTIFS(DETAILS!A:A,I7,DETAILS!D:D,"Lateral Movement*",DETAILS!H:H,"")</f>
        <v>0</v>
      </c>
      <c r="F7" s="51"/>
      <c r="G7" s="51">
        <f>COUNTIFS(DETAILS!A:A,I7,DETAILS!G:G,"Undecided",DETAILS!D:D,"Account Enabled")+COUNTIFS(DETAILS!A:A,I7,DETAILS!G:G,"Undecided",DETAILS!D:D,"LDAP Admin Added")+COUNTIFS(DETAILS!A:A,I7,DETAILS!G:G,"Undecided",DETAILS!D:D,"Account Password Reset")</f>
        <v>0</v>
      </c>
      <c r="H7" s="52">
        <f>COUNTIFS(DETAILS!A:A,I7,DETAILS!G:G,"Undecided",DETAILS!D:D,"Virus Alert")</f>
        <v>0</v>
      </c>
      <c r="I7" s="53">
        <v>45422</v>
      </c>
      <c r="J7" s="54">
        <f>COUNTIFS(DETAILS!F:F,I7,DETAILS!G:G,"Undecided")</f>
        <v>0</v>
      </c>
      <c r="K7" s="54">
        <f>COUNTIFS(DETAILS!F:F,I7,DETAILS!G:G,"Benign")</f>
        <v>0</v>
      </c>
      <c r="L7" s="54">
        <f>COUNTIFS(DETAILS!F:F,I7,DETAILS!G:G,"Malicious")</f>
        <v>0</v>
      </c>
      <c r="M7" s="54">
        <f>COUNTIFS(DETAILS!F:F,I7,DETAILS!G:G,"Not Applicable")</f>
        <v>0</v>
      </c>
      <c r="N7" s="45"/>
      <c r="O7" s="82">
        <f>COUNTIFS(DETAILS!F:F,I7,DETAILS!D:D,$O$1,DETAILS!G:G,"&lt;&gt;Undecided")</f>
        <v>0</v>
      </c>
      <c r="P7" s="131">
        <f>COUNTIFS(DETAILS!F:F,I7,DETAILS!D:D,$O$1,DETAILS!G:G,"Undecided")</f>
        <v>0</v>
      </c>
      <c r="Q7" s="205">
        <f>COUNTIFS(DETAILS!F:F,I7,DETAILS!D:D,$Q$1,DETAILS!G:G,"&lt;&gt;Undecided")</f>
        <v>0</v>
      </c>
      <c r="R7" s="132">
        <f>COUNTIFS(DETAILS!F:F,I7,DETAILS!D:D,$Q$1,DETAILS!G:G,"Undecided")</f>
        <v>0</v>
      </c>
      <c r="S7" s="82">
        <f>COUNTIFS(DETAILS!F:F,I7,DETAILS!D:D,$S$1,DETAILS!G:G,"&lt;&gt;Undecided")</f>
        <v>0</v>
      </c>
      <c r="T7" s="131">
        <f>COUNTIFS(DETAILS!F:F,I7,DETAILS!D:D,$S$1,DETAILS!G:G,"Undecided")</f>
        <v>0</v>
      </c>
      <c r="U7" s="82">
        <f>COUNTIFS(DETAILS!F:F,I7,DETAILS!D:D,"Brute Force*",DETAILS!G:G,"&lt;&gt;Undecided")</f>
        <v>0</v>
      </c>
      <c r="V7" s="131">
        <f>COUNTIFS(DETAILS!F:F,I7,DETAILS!D:D,"Brute Force*",DETAILS!G:G,"Undecided")</f>
        <v>0</v>
      </c>
      <c r="W7" s="83">
        <f>COUNTIFS(DETAILS!F:F,I7,DETAILS!D:D,$W$1,DETAILS!G:G,"&lt;&gt;Undecided")</f>
        <v>0</v>
      </c>
      <c r="X7" s="132">
        <f>COUNTIFS(DETAILS!F:F,I7,DETAILS!D:D,$W$1,DETAILS!G:G,"Undecided")</f>
        <v>0</v>
      </c>
      <c r="Y7" s="82">
        <f>COUNTIFS(DETAILS!F:F,I7,DETAILS!D:D,$Y$1,DETAILS!G:G,"&lt;&gt;Undecided")</f>
        <v>0</v>
      </c>
      <c r="Z7" s="131">
        <f>COUNTIFS(DETAILS!F:F,I7,DETAILS!D:D,$Y$1,DETAILS!G:G,"Undecided")</f>
        <v>0</v>
      </c>
      <c r="AA7" s="82">
        <f>COUNTIFS(DETAILS!F:F,I7,DETAILS!D:D,$AA$1,DETAILS!G:G,"&lt;&gt;Undecided")</f>
        <v>0</v>
      </c>
      <c r="AB7" s="131">
        <f>COUNTIFS(DETAILS!F:F,I7,DETAILS!D:D,$AA$1,DETAILS!G:G,"Undecided")</f>
        <v>0</v>
      </c>
      <c r="AC7" s="83">
        <f>COUNTIFS(DETAILS!F:F,I7,DETAILS!D:D,$AC$1,DETAILS!G:G,"&lt;&gt;Undecided")</f>
        <v>0</v>
      </c>
      <c r="AD7" s="132">
        <f>COUNTIFS(DETAILS!F:F,I7,DETAILS!D:D,$AC$1,DETAILS!G:G,"Undecided")</f>
        <v>0</v>
      </c>
      <c r="AE7" s="171">
        <f>COUNTIFS(DETAILS!F:F,I7,DETAILS!D:D,$AE$1,DETAILS!G:G,"&lt;&gt;Undecided")</f>
        <v>0</v>
      </c>
      <c r="AF7" s="131">
        <f>COUNTIFS(DETAILS!F:F,I7,DETAILS!D:D,$AE$1,DETAILS!G:G,"Undecided")</f>
        <v>0</v>
      </c>
      <c r="AG7" s="205">
        <f>COUNTIFS(DETAILS!F:F,I7,DETAILS!D:D,"*Linux*",DETAILS!G:G,"&lt;&gt;Undecided")</f>
        <v>0</v>
      </c>
      <c r="AH7" s="132">
        <f>COUNTIFS(DETAILS!F:F,I7,DETAILS!D:D,"*Linux*",DETAILS!G:G,"Undecided")</f>
        <v>0</v>
      </c>
      <c r="AI7" s="82">
        <f>COUNTIFS(DETAILS!F:F,I7,DETAILS!D:D,"*Local Credentials",DETAILS!G:G,"&lt;&gt;Undecided")</f>
        <v>0</v>
      </c>
      <c r="AJ7" s="133">
        <f>COUNTIFS(DETAILS!F:F,I7,DETAILS!D:D,"*Local Credentials",DETAILS!G:G,"Undecided")</f>
        <v>0</v>
      </c>
      <c r="AK7" s="170">
        <f>COUNTIFS(DETAILS!F:F,I7,DETAILS!D:D,"*Administrator Impersonation",DETAILS!G:G,"&lt;&gt;Undecided")</f>
        <v>0</v>
      </c>
      <c r="AL7" s="168">
        <f>COUNTIFS(DETAILS!F:F,I7,DETAILS!D:D,"*Administrator Impersonation",DETAILS!G:G,"Undecided")</f>
        <v>0</v>
      </c>
      <c r="AM7" s="102">
        <f>COUNTIFS(DETAILS!F:F,I7,DETAILS!D:D,"*Service Account",DETAILS!G:G,"&lt;&gt;Undecided")</f>
        <v>0</v>
      </c>
      <c r="AN7" s="133">
        <f>COUNTIFS(DETAILS!F:F,I7,DETAILS!D:D,"*Service Account",DETAILS!G:G,"Undecided")</f>
        <v>0</v>
      </c>
      <c r="AP7" s="45">
        <f t="shared" si="0"/>
        <v>0</v>
      </c>
    </row>
    <row r="8" spans="2:42" x14ac:dyDescent="0.35">
      <c r="B8" s="50">
        <f>COUNTIFS(DETAILS!A:A,I8,DETAILS!D:D,"Ingress from Privileged Account",DETAILS!H:H,"")</f>
        <v>0</v>
      </c>
      <c r="C8" s="50">
        <f>COUNTIFS(DETAILS!A:A,I8,DETAILS!D:D,"Brute Force*",DETAILS!H:H,"")</f>
        <v>0</v>
      </c>
      <c r="D8" s="50">
        <f>COUNTIFS(DETAILS!A:A,I8,DETAILS!D:D,$AA$2,DETAILS!H:H,"")</f>
        <v>0</v>
      </c>
      <c r="E8" s="50">
        <f>COUNTIFS(DETAILS!A:A,I8,DETAILS!D:D,"Lateral Movement*",DETAILS!H:H,"")</f>
        <v>0</v>
      </c>
      <c r="F8" s="51"/>
      <c r="G8" s="51">
        <f>COUNTIFS(DETAILS!A:A,I8,DETAILS!G:G,"Undecided",DETAILS!D:D,"Account Enabled")+COUNTIFS(DETAILS!A:A,I8,DETAILS!G:G,"Undecided",DETAILS!D:D,"LDAP Admin Added")+COUNTIFS(DETAILS!A:A,I8,DETAILS!G:G,"Undecided",DETAILS!D:D,"Account Password Reset")</f>
        <v>0</v>
      </c>
      <c r="H8" s="52">
        <f>COUNTIFS(DETAILS!A:A,I8,DETAILS!G:G,"Undecided",DETAILS!D:D,"Virus Alert")</f>
        <v>0</v>
      </c>
      <c r="I8" s="53">
        <v>45423</v>
      </c>
      <c r="J8" s="54">
        <f>COUNTIFS(DETAILS!F:F,I8,DETAILS!G:G,"Undecided")</f>
        <v>0</v>
      </c>
      <c r="K8" s="54">
        <f>COUNTIFS(DETAILS!F:F,I8,DETAILS!G:G,"Benign")</f>
        <v>0</v>
      </c>
      <c r="L8" s="54">
        <f>COUNTIFS(DETAILS!F:F,I8,DETAILS!G:G,"Malicious")</f>
        <v>0</v>
      </c>
      <c r="M8" s="54">
        <f>COUNTIFS(DETAILS!F:F,I8,DETAILS!G:G,"Not Applicable")</f>
        <v>0</v>
      </c>
      <c r="N8" s="45"/>
      <c r="O8" s="82">
        <f>COUNTIFS(DETAILS!F:F,I8,DETAILS!D:D,$O$1,DETAILS!G:G,"&lt;&gt;Undecided")</f>
        <v>0</v>
      </c>
      <c r="P8" s="131">
        <f>COUNTIFS(DETAILS!F:F,I8,DETAILS!D:D,$O$1,DETAILS!G:G,"Undecided")</f>
        <v>0</v>
      </c>
      <c r="Q8" s="205">
        <f>COUNTIFS(DETAILS!F:F,I8,DETAILS!D:D,$Q$1,DETAILS!G:G,"&lt;&gt;Undecided")</f>
        <v>0</v>
      </c>
      <c r="R8" s="132">
        <f>COUNTIFS(DETAILS!F:F,I8,DETAILS!D:D,$Q$1,DETAILS!G:G,"Undecided")</f>
        <v>0</v>
      </c>
      <c r="S8" s="82">
        <f>COUNTIFS(DETAILS!F:F,I8,DETAILS!D:D,$S$1,DETAILS!G:G,"&lt;&gt;Undecided")</f>
        <v>0</v>
      </c>
      <c r="T8" s="131">
        <f>COUNTIFS(DETAILS!F:F,I8,DETAILS!D:D,$S$1,DETAILS!G:G,"Undecided")</f>
        <v>0</v>
      </c>
      <c r="U8" s="82">
        <f>COUNTIFS(DETAILS!F:F,I8,DETAILS!D:D,"Brute Force*",DETAILS!G:G,"&lt;&gt;Undecided")</f>
        <v>0</v>
      </c>
      <c r="V8" s="131">
        <f>COUNTIFS(DETAILS!F:F,I8,DETAILS!D:D,"Brute Force*",DETAILS!G:G,"Undecided")</f>
        <v>0</v>
      </c>
      <c r="W8" s="83">
        <f>COUNTIFS(DETAILS!F:F,I8,DETAILS!D:D,$W$1,DETAILS!G:G,"&lt;&gt;Undecided")</f>
        <v>0</v>
      </c>
      <c r="X8" s="132">
        <f>COUNTIFS(DETAILS!F:F,I8,DETAILS!D:D,$W$1,DETAILS!G:G,"Undecided")</f>
        <v>0</v>
      </c>
      <c r="Y8" s="82">
        <f>COUNTIFS(DETAILS!F:F,I8,DETAILS!D:D,$Y$1,DETAILS!G:G,"&lt;&gt;Undecided")</f>
        <v>0</v>
      </c>
      <c r="Z8" s="131">
        <f>COUNTIFS(DETAILS!F:F,I8,DETAILS!D:D,$Y$1,DETAILS!G:G,"Undecided")</f>
        <v>0</v>
      </c>
      <c r="AA8" s="82">
        <f>COUNTIFS(DETAILS!F:F,I8,DETAILS!D:D,$AA$1,DETAILS!G:G,"&lt;&gt;Undecided")</f>
        <v>0</v>
      </c>
      <c r="AB8" s="131">
        <f>COUNTIFS(DETAILS!F:F,I8,DETAILS!D:D,$AA$1,DETAILS!G:G,"Undecided")</f>
        <v>0</v>
      </c>
      <c r="AC8" s="83">
        <f>COUNTIFS(DETAILS!F:F,I8,DETAILS!D:D,$AC$1,DETAILS!G:G,"&lt;&gt;Undecided")</f>
        <v>0</v>
      </c>
      <c r="AD8" s="132">
        <f>COUNTIFS(DETAILS!F:F,I8,DETAILS!D:D,$AC$1,DETAILS!G:G,"Undecided")</f>
        <v>0</v>
      </c>
      <c r="AE8" s="171">
        <f>COUNTIFS(DETAILS!F:F,I8,DETAILS!D:D,$AE$1,DETAILS!G:G,"&lt;&gt;Undecided")</f>
        <v>0</v>
      </c>
      <c r="AF8" s="131">
        <f>COUNTIFS(DETAILS!F:F,I8,DETAILS!D:D,$AE$1,DETAILS!G:G,"Undecided")</f>
        <v>0</v>
      </c>
      <c r="AG8" s="205">
        <f>COUNTIFS(DETAILS!F:F,I8,DETAILS!D:D,"*Linux*",DETAILS!G:G,"&lt;&gt;Undecided")</f>
        <v>0</v>
      </c>
      <c r="AH8" s="132">
        <f>COUNTIFS(DETAILS!F:F,I8,DETAILS!D:D,"*Linux*",DETAILS!G:G,"Undecided")</f>
        <v>0</v>
      </c>
      <c r="AI8" s="82">
        <f>COUNTIFS(DETAILS!F:F,I8,DETAILS!D:D,"*Local Credentials",DETAILS!G:G,"&lt;&gt;Undecided")</f>
        <v>0</v>
      </c>
      <c r="AJ8" s="133">
        <f>COUNTIFS(DETAILS!F:F,I8,DETAILS!D:D,"*Local Credentials",DETAILS!G:G,"Undecided")</f>
        <v>0</v>
      </c>
      <c r="AK8" s="170">
        <f>COUNTIFS(DETAILS!F:F,I8,DETAILS!D:D,"*Administrator Impersonation",DETAILS!G:G,"&lt;&gt;Undecided")</f>
        <v>0</v>
      </c>
      <c r="AL8" s="168">
        <f>COUNTIFS(DETAILS!F:F,I8,DETAILS!D:D,"*Administrator Impersonation",DETAILS!G:G,"Undecided")</f>
        <v>0</v>
      </c>
      <c r="AM8" s="102">
        <f>COUNTIFS(DETAILS!F:F,I8,DETAILS!D:D,"*Service Account",DETAILS!G:G,"&lt;&gt;Undecided")</f>
        <v>0</v>
      </c>
      <c r="AN8" s="133">
        <f>COUNTIFS(DETAILS!F:F,I8,DETAILS!D:D,"*Service Account",DETAILS!G:G,"Undecided")</f>
        <v>0</v>
      </c>
      <c r="AP8" s="45">
        <f t="shared" si="0"/>
        <v>0</v>
      </c>
    </row>
    <row r="9" spans="2:42" x14ac:dyDescent="0.35">
      <c r="B9" s="50">
        <f>COUNTIFS(DETAILS!A:A,I9,DETAILS!D:D,"Ingress from Privileged Account",DETAILS!H:H,"")</f>
        <v>0</v>
      </c>
      <c r="C9" s="50">
        <f>COUNTIFS(DETAILS!A:A,I9,DETAILS!D:D,"Brute Force*",DETAILS!H:H,"")</f>
        <v>0</v>
      </c>
      <c r="D9" s="50">
        <f>COUNTIFS(DETAILS!A:A,I9,DETAILS!D:D,$AA$2,DETAILS!H:H,"")</f>
        <v>0</v>
      </c>
      <c r="E9" s="50">
        <f>COUNTIFS(DETAILS!A:A,I9,DETAILS!D:D,"Lateral Movement*",DETAILS!H:H,"")</f>
        <v>0</v>
      </c>
      <c r="F9" s="51"/>
      <c r="G9" s="51">
        <f>COUNTIFS(DETAILS!A:A,I9,DETAILS!G:G,"Undecided",DETAILS!D:D,"Account Enabled")+COUNTIFS(DETAILS!A:A,I9,DETAILS!G:G,"Undecided",DETAILS!D:D,"LDAP Admin Added")+COUNTIFS(DETAILS!A:A,I9,DETAILS!G:G,"Undecided",DETAILS!D:D,"Account Password Reset")</f>
        <v>0</v>
      </c>
      <c r="H9" s="52">
        <f>COUNTIFS(DETAILS!A:A,I9,DETAILS!G:G,"Undecided",DETAILS!D:D,"Virus Alert")</f>
        <v>0</v>
      </c>
      <c r="I9" s="53">
        <v>45424</v>
      </c>
      <c r="J9" s="54">
        <f>COUNTIFS(DETAILS!F:F,I9,DETAILS!G:G,"Undecided")</f>
        <v>0</v>
      </c>
      <c r="K9" s="54">
        <f>COUNTIFS(DETAILS!F:F,I9,DETAILS!G:G,"Benign")</f>
        <v>0</v>
      </c>
      <c r="L9" s="54">
        <f>COUNTIFS(DETAILS!F:F,I9,DETAILS!G:G,"Malicious")</f>
        <v>0</v>
      </c>
      <c r="M9" s="54">
        <f>COUNTIFS(DETAILS!F:F,I9,DETAILS!G:G,"Not Applicable")</f>
        <v>0</v>
      </c>
      <c r="N9" s="45"/>
      <c r="O9" s="82">
        <f>COUNTIFS(DETAILS!F:F,I9,DETAILS!D:D,$O$1,DETAILS!G:G,"&lt;&gt;Undecided")</f>
        <v>0</v>
      </c>
      <c r="P9" s="131">
        <f>COUNTIFS(DETAILS!F:F,I9,DETAILS!D:D,$O$1,DETAILS!G:G,"Undecided")</f>
        <v>0</v>
      </c>
      <c r="Q9" s="205">
        <f>COUNTIFS(DETAILS!F:F,I9,DETAILS!D:D,$Q$1,DETAILS!G:G,"&lt;&gt;Undecided")</f>
        <v>0</v>
      </c>
      <c r="R9" s="132">
        <f>COUNTIFS(DETAILS!F:F,I9,DETAILS!D:D,$Q$1,DETAILS!G:G,"Undecided")</f>
        <v>0</v>
      </c>
      <c r="S9" s="82">
        <f>COUNTIFS(DETAILS!F:F,I9,DETAILS!D:D,$S$1,DETAILS!G:G,"&lt;&gt;Undecided")</f>
        <v>0</v>
      </c>
      <c r="T9" s="131">
        <f>COUNTIFS(DETAILS!F:F,I9,DETAILS!D:D,$S$1,DETAILS!G:G,"Undecided")</f>
        <v>0</v>
      </c>
      <c r="U9" s="82">
        <f>COUNTIFS(DETAILS!F:F,I9,DETAILS!D:D,"Brute Force*",DETAILS!G:G,"&lt;&gt;Undecided")</f>
        <v>0</v>
      </c>
      <c r="V9" s="131">
        <f>COUNTIFS(DETAILS!F:F,I9,DETAILS!D:D,"Brute Force*",DETAILS!G:G,"Undecided")</f>
        <v>0</v>
      </c>
      <c r="W9" s="83">
        <f>COUNTIFS(DETAILS!F:F,I9,DETAILS!D:D,$W$1,DETAILS!G:G,"&lt;&gt;Undecided")</f>
        <v>0</v>
      </c>
      <c r="X9" s="132">
        <f>COUNTIFS(DETAILS!F:F,I9,DETAILS!D:D,$W$1,DETAILS!G:G,"Undecided")</f>
        <v>0</v>
      </c>
      <c r="Y9" s="82">
        <f>COUNTIFS(DETAILS!F:F,I9,DETAILS!D:D,$Y$1,DETAILS!G:G,"&lt;&gt;Undecided")</f>
        <v>0</v>
      </c>
      <c r="Z9" s="131">
        <f>COUNTIFS(DETAILS!F:F,I9,DETAILS!D:D,$Y$1,DETAILS!G:G,"Undecided")</f>
        <v>0</v>
      </c>
      <c r="AA9" s="82">
        <f>COUNTIFS(DETAILS!F:F,I9,DETAILS!D:D,$AA$1,DETAILS!G:G,"&lt;&gt;Undecided")</f>
        <v>0</v>
      </c>
      <c r="AB9" s="131">
        <f>COUNTIFS(DETAILS!F:F,I9,DETAILS!D:D,$AA$1,DETAILS!G:G,"Undecided")</f>
        <v>0</v>
      </c>
      <c r="AC9" s="83">
        <f>COUNTIFS(DETAILS!F:F,I9,DETAILS!D:D,$AC$1,DETAILS!G:G,"&lt;&gt;Undecided")</f>
        <v>0</v>
      </c>
      <c r="AD9" s="132">
        <f>COUNTIFS(DETAILS!F:F,I9,DETAILS!D:D,$AC$1,DETAILS!G:G,"Undecided")</f>
        <v>0</v>
      </c>
      <c r="AE9" s="171">
        <f>COUNTIFS(DETAILS!F:F,I9,DETAILS!D:D,$AE$1,DETAILS!G:G,"&lt;&gt;Undecided")</f>
        <v>0</v>
      </c>
      <c r="AF9" s="131">
        <f>COUNTIFS(DETAILS!F:F,I9,DETAILS!D:D,$AE$1,DETAILS!G:G,"Undecided")</f>
        <v>0</v>
      </c>
      <c r="AG9" s="205">
        <f>COUNTIFS(DETAILS!F:F,I9,DETAILS!D:D,"*Linux*",DETAILS!G:G,"&lt;&gt;Undecided")</f>
        <v>0</v>
      </c>
      <c r="AH9" s="132">
        <f>COUNTIFS(DETAILS!F:F,I9,DETAILS!D:D,"*Linux*",DETAILS!G:G,"Undecided")</f>
        <v>0</v>
      </c>
      <c r="AI9" s="82">
        <f>COUNTIFS(DETAILS!F:F,I9,DETAILS!D:D,"*Local Credentials",DETAILS!G:G,"&lt;&gt;Undecided")</f>
        <v>0</v>
      </c>
      <c r="AJ9" s="133">
        <f>COUNTIFS(DETAILS!F:F,I9,DETAILS!D:D,"*Local Credentials",DETAILS!G:G,"Undecided")</f>
        <v>0</v>
      </c>
      <c r="AK9" s="170">
        <f>COUNTIFS(DETAILS!F:F,I9,DETAILS!D:D,"*Administrator Impersonation",DETAILS!G:G,"&lt;&gt;Undecided")</f>
        <v>0</v>
      </c>
      <c r="AL9" s="168">
        <f>COUNTIFS(DETAILS!F:F,I9,DETAILS!D:D,"*Administrator Impersonation",DETAILS!G:G,"Undecided")</f>
        <v>0</v>
      </c>
      <c r="AM9" s="102">
        <f>COUNTIFS(DETAILS!F:F,I9,DETAILS!D:D,"*Service Account",DETAILS!G:G,"&lt;&gt;Undecided")</f>
        <v>0</v>
      </c>
      <c r="AN9" s="133">
        <f>COUNTIFS(DETAILS!F:F,I9,DETAILS!D:D,"*Service Account",DETAILS!G:G,"Undecided")</f>
        <v>0</v>
      </c>
      <c r="AP9" s="45">
        <f t="shared" si="0"/>
        <v>0</v>
      </c>
    </row>
    <row r="10" spans="2:42" x14ac:dyDescent="0.35">
      <c r="B10" s="50">
        <f>COUNTIFS(DETAILS!A:A,I10,DETAILS!D:D,"Ingress from Privileged Account",DETAILS!H:H,"")</f>
        <v>0</v>
      </c>
      <c r="C10" s="50">
        <f>COUNTIFS(DETAILS!A:A,I10,DETAILS!D:D,"Brute Force*",DETAILS!H:H,"")</f>
        <v>0</v>
      </c>
      <c r="D10" s="50">
        <f>COUNTIFS(DETAILS!A:A,I10,DETAILS!D:D,$AA$2,DETAILS!H:H,"")</f>
        <v>0</v>
      </c>
      <c r="E10" s="50">
        <f>COUNTIFS(DETAILS!A:A,I10,DETAILS!D:D,"Lateral Movement*",DETAILS!H:H,"")</f>
        <v>0</v>
      </c>
      <c r="F10" s="51"/>
      <c r="G10" s="51">
        <f>COUNTIFS(DETAILS!A:A,I10,DETAILS!G:G,"Undecided",DETAILS!D:D,"Account Enabled")+COUNTIFS(DETAILS!A:A,I10,DETAILS!G:G,"Undecided",DETAILS!D:D,"LDAP Admin Added")+COUNTIFS(DETAILS!A:A,I10,DETAILS!G:G,"Undecided",DETAILS!D:D,"Account Password Reset")</f>
        <v>0</v>
      </c>
      <c r="H10" s="52">
        <f>COUNTIFS(DETAILS!A:A,I10,DETAILS!G:G,"Undecided",DETAILS!D:D,"Virus Alert")</f>
        <v>0</v>
      </c>
      <c r="I10" s="53">
        <v>45425</v>
      </c>
      <c r="J10" s="54">
        <f>COUNTIFS(DETAILS!F:F,I10,DETAILS!G:G,"Undecided")</f>
        <v>0</v>
      </c>
      <c r="K10" s="54">
        <f>COUNTIFS(DETAILS!F:F,I10,DETAILS!G:G,"Benign")</f>
        <v>0</v>
      </c>
      <c r="L10" s="54">
        <f>COUNTIFS(DETAILS!F:F,I10,DETAILS!G:G,"Malicious")</f>
        <v>0</v>
      </c>
      <c r="M10" s="54">
        <f>COUNTIFS(DETAILS!F:F,I10,DETAILS!G:G,"Not Applicable")</f>
        <v>0</v>
      </c>
      <c r="N10" s="45"/>
      <c r="O10" s="82">
        <f>COUNTIFS(DETAILS!F:F,I10,DETAILS!D:D,$O$1,DETAILS!G:G,"&lt;&gt;Undecided")</f>
        <v>0</v>
      </c>
      <c r="P10" s="131">
        <f>COUNTIFS(DETAILS!F:F,I10,DETAILS!D:D,$O$1,DETAILS!G:G,"Undecided")</f>
        <v>0</v>
      </c>
      <c r="Q10" s="205">
        <f>COUNTIFS(DETAILS!F:F,I10,DETAILS!D:D,$Q$1,DETAILS!G:G,"&lt;&gt;Undecided")</f>
        <v>0</v>
      </c>
      <c r="R10" s="132">
        <f>COUNTIFS(DETAILS!F:F,I10,DETAILS!D:D,$Q$1,DETAILS!G:G,"Undecided")</f>
        <v>0</v>
      </c>
      <c r="S10" s="82">
        <f>COUNTIFS(DETAILS!F:F,I10,DETAILS!D:D,$S$1,DETAILS!G:G,"&lt;&gt;Undecided")</f>
        <v>0</v>
      </c>
      <c r="T10" s="131">
        <f>COUNTIFS(DETAILS!F:F,I10,DETAILS!D:D,$S$1,DETAILS!G:G,"Undecided")</f>
        <v>0</v>
      </c>
      <c r="U10" s="82">
        <f>COUNTIFS(DETAILS!F:F,I10,DETAILS!D:D,"Brute Force*",DETAILS!G:G,"&lt;&gt;Undecided")</f>
        <v>0</v>
      </c>
      <c r="V10" s="131">
        <f>COUNTIFS(DETAILS!F:F,I10,DETAILS!D:D,"Brute Force*",DETAILS!G:G,"Undecided")</f>
        <v>0</v>
      </c>
      <c r="W10" s="83">
        <f>COUNTIFS(DETAILS!F:F,I10,DETAILS!D:D,$W$1,DETAILS!G:G,"&lt;&gt;Undecided")</f>
        <v>0</v>
      </c>
      <c r="X10" s="132">
        <f>COUNTIFS(DETAILS!F:F,I10,DETAILS!D:D,$W$1,DETAILS!G:G,"Undecided")</f>
        <v>0</v>
      </c>
      <c r="Y10" s="82">
        <f>COUNTIFS(DETAILS!F:F,I10,DETAILS!D:D,$Y$1,DETAILS!G:G,"&lt;&gt;Undecided")</f>
        <v>0</v>
      </c>
      <c r="Z10" s="131">
        <f>COUNTIFS(DETAILS!F:F,I10,DETAILS!D:D,$Y$1,DETAILS!G:G,"Undecided")</f>
        <v>0</v>
      </c>
      <c r="AA10" s="82">
        <f>COUNTIFS(DETAILS!F:F,I10,DETAILS!D:D,$AA$1,DETAILS!G:G,"&lt;&gt;Undecided")</f>
        <v>0</v>
      </c>
      <c r="AB10" s="131">
        <f>COUNTIFS(DETAILS!F:F,I10,DETAILS!D:D,$AA$1,DETAILS!G:G,"Undecided")</f>
        <v>0</v>
      </c>
      <c r="AC10" s="83">
        <f>COUNTIFS(DETAILS!F:F,I10,DETAILS!D:D,$AC$1,DETAILS!G:G,"&lt;&gt;Undecided")</f>
        <v>0</v>
      </c>
      <c r="AD10" s="132">
        <f>COUNTIFS(DETAILS!F:F,I10,DETAILS!D:D,$AC$1,DETAILS!G:G,"Undecided")</f>
        <v>0</v>
      </c>
      <c r="AE10" s="171">
        <f>COUNTIFS(DETAILS!F:F,I10,DETAILS!D:D,$AE$1,DETAILS!G:G,"&lt;&gt;Undecided")</f>
        <v>0</v>
      </c>
      <c r="AF10" s="131">
        <f>COUNTIFS(DETAILS!F:F,I10,DETAILS!D:D,$AE$1,DETAILS!G:G,"Undecided")</f>
        <v>0</v>
      </c>
      <c r="AG10" s="205">
        <f>COUNTIFS(DETAILS!F:F,I10,DETAILS!D:D,"*Linux*",DETAILS!G:G,"&lt;&gt;Undecided")</f>
        <v>0</v>
      </c>
      <c r="AH10" s="132">
        <f>COUNTIFS(DETAILS!F:F,I10,DETAILS!D:D,"*Linux*",DETAILS!G:G,"Undecided")</f>
        <v>0</v>
      </c>
      <c r="AI10" s="82">
        <f>COUNTIFS(DETAILS!F:F,I10,DETAILS!D:D,"*Local Credentials",DETAILS!G:G,"&lt;&gt;Undecided")</f>
        <v>0</v>
      </c>
      <c r="AJ10" s="133">
        <f>COUNTIFS(DETAILS!F:F,I10,DETAILS!D:D,"*Local Credentials",DETAILS!G:G,"Undecided")</f>
        <v>0</v>
      </c>
      <c r="AK10" s="170">
        <f>COUNTIFS(DETAILS!F:F,I10,DETAILS!D:D,"*Administrator Impersonation",DETAILS!G:G,"&lt;&gt;Undecided")</f>
        <v>0</v>
      </c>
      <c r="AL10" s="168">
        <f>COUNTIFS(DETAILS!F:F,I10,DETAILS!D:D,"*Administrator Impersonation",DETAILS!G:G,"Undecided")</f>
        <v>0</v>
      </c>
      <c r="AM10" s="102">
        <f>COUNTIFS(DETAILS!F:F,I10,DETAILS!D:D,"*Service Account",DETAILS!G:G,"&lt;&gt;Undecided")</f>
        <v>0</v>
      </c>
      <c r="AN10" s="133">
        <f>COUNTIFS(DETAILS!F:F,I10,DETAILS!D:D,"*Service Account",DETAILS!G:G,"Undecided")</f>
        <v>0</v>
      </c>
      <c r="AP10" s="45">
        <f t="shared" si="0"/>
        <v>0</v>
      </c>
    </row>
    <row r="11" spans="2:42" ht="14" customHeight="1" x14ac:dyDescent="0.35">
      <c r="B11" s="50">
        <f>COUNTIFS(DETAILS!A:A,I11,DETAILS!D:D,"Ingress from Privileged Account",DETAILS!H:H,"")</f>
        <v>0</v>
      </c>
      <c r="C11" s="50">
        <f>COUNTIFS(DETAILS!A:A,I11,DETAILS!D:D,"Brute Force*",DETAILS!H:H,"")</f>
        <v>0</v>
      </c>
      <c r="D11" s="50">
        <f>COUNTIFS(DETAILS!A:A,I11,DETAILS!D:D,$AA$2,DETAILS!H:H,"")</f>
        <v>0</v>
      </c>
      <c r="E11" s="50">
        <f>COUNTIFS(DETAILS!A:A,I11,DETAILS!D:D,"Lateral Movement*",DETAILS!H:H,"")</f>
        <v>0</v>
      </c>
      <c r="F11" s="51"/>
      <c r="G11" s="51">
        <f>COUNTIFS(DETAILS!A:A,I11,DETAILS!G:G,"Undecided",DETAILS!D:D,"Account Enabled")+COUNTIFS(DETAILS!A:A,I11,DETAILS!G:G,"Undecided",DETAILS!D:D,"LDAP Admin Added")+COUNTIFS(DETAILS!A:A,I11,DETAILS!G:G,"Undecided",DETAILS!D:D,"Account Password Reset")</f>
        <v>0</v>
      </c>
      <c r="H11" s="52">
        <f>COUNTIFS(DETAILS!A:A,I11,DETAILS!G:G,"Undecided",DETAILS!D:D,"Virus Alert")</f>
        <v>0</v>
      </c>
      <c r="I11" s="53">
        <v>45426</v>
      </c>
      <c r="J11" s="54">
        <f>COUNTIFS(DETAILS!F:F,I11,DETAILS!G:G,"Undecided")</f>
        <v>0</v>
      </c>
      <c r="K11" s="54">
        <f>COUNTIFS(DETAILS!F:F,I11,DETAILS!G:G,"Benign")</f>
        <v>0</v>
      </c>
      <c r="L11" s="54">
        <f>COUNTIFS(DETAILS!F:F,I11,DETAILS!G:G,"Malicious")</f>
        <v>0</v>
      </c>
      <c r="M11" s="54">
        <f>COUNTIFS(DETAILS!F:F,I11,DETAILS!G:G,"Not Applicable")</f>
        <v>0</v>
      </c>
      <c r="N11" s="45"/>
      <c r="O11" s="82">
        <f>COUNTIFS(DETAILS!F:F,I11,DETAILS!D:D,$O$1,DETAILS!G:G,"&lt;&gt;Undecided")</f>
        <v>0</v>
      </c>
      <c r="P11" s="131">
        <f>COUNTIFS(DETAILS!F:F,I11,DETAILS!D:D,$O$1,DETAILS!G:G,"Undecided")</f>
        <v>0</v>
      </c>
      <c r="Q11" s="205">
        <f>COUNTIFS(DETAILS!F:F,I11,DETAILS!D:D,$Q$1,DETAILS!G:G,"&lt;&gt;Undecided")</f>
        <v>0</v>
      </c>
      <c r="R11" s="132">
        <f>COUNTIFS(DETAILS!F:F,I11,DETAILS!D:D,$Q$1,DETAILS!G:G,"Undecided")</f>
        <v>0</v>
      </c>
      <c r="S11" s="82">
        <f>COUNTIFS(DETAILS!F:F,I11,DETAILS!D:D,$S$1,DETAILS!G:G,"&lt;&gt;Undecided")</f>
        <v>0</v>
      </c>
      <c r="T11" s="131">
        <f>COUNTIFS(DETAILS!F:F,I11,DETAILS!D:D,$S$1,DETAILS!G:G,"Undecided")</f>
        <v>0</v>
      </c>
      <c r="U11" s="82">
        <f>COUNTIFS(DETAILS!F:F,I11,DETAILS!D:D,"Brute Force*",DETAILS!G:G,"&lt;&gt;Undecided")</f>
        <v>0</v>
      </c>
      <c r="V11" s="131">
        <f>COUNTIFS(DETAILS!F:F,I11,DETAILS!D:D,"Brute Force*",DETAILS!G:G,"Undecided")</f>
        <v>0</v>
      </c>
      <c r="W11" s="83">
        <f>COUNTIFS(DETAILS!F:F,I11,DETAILS!D:D,$W$1,DETAILS!G:G,"&lt;&gt;Undecided")</f>
        <v>0</v>
      </c>
      <c r="X11" s="132">
        <f>COUNTIFS(DETAILS!F:F,I11,DETAILS!D:D,$W$1,DETAILS!G:G,"Undecided")</f>
        <v>0</v>
      </c>
      <c r="Y11" s="82">
        <f>COUNTIFS(DETAILS!F:F,I11,DETAILS!D:D,$Y$1,DETAILS!G:G,"&lt;&gt;Undecided")</f>
        <v>0</v>
      </c>
      <c r="Z11" s="131">
        <f>COUNTIFS(DETAILS!F:F,I11,DETAILS!D:D,$Y$1,DETAILS!G:G,"Undecided")</f>
        <v>0</v>
      </c>
      <c r="AA11" s="82">
        <f>COUNTIFS(DETAILS!F:F,I11,DETAILS!D:D,$AA$1,DETAILS!G:G,"&lt;&gt;Undecided")</f>
        <v>0</v>
      </c>
      <c r="AB11" s="131">
        <f>COUNTIFS(DETAILS!F:F,I11,DETAILS!D:D,$AA$1,DETAILS!G:G,"Undecided")</f>
        <v>0</v>
      </c>
      <c r="AC11" s="83">
        <f>COUNTIFS(DETAILS!F:F,I11,DETAILS!D:D,$AC$1,DETAILS!G:G,"&lt;&gt;Undecided")</f>
        <v>0</v>
      </c>
      <c r="AD11" s="132">
        <f>COUNTIFS(DETAILS!F:F,I11,DETAILS!D:D,$AC$1,DETAILS!G:G,"Undecided")</f>
        <v>0</v>
      </c>
      <c r="AE11" s="171">
        <f>COUNTIFS(DETAILS!F:F,I11,DETAILS!D:D,$AE$1,DETAILS!G:G,"&lt;&gt;Undecided")</f>
        <v>0</v>
      </c>
      <c r="AF11" s="131">
        <f>COUNTIFS(DETAILS!F:F,I11,DETAILS!D:D,$AE$1,DETAILS!G:G,"Undecided")</f>
        <v>0</v>
      </c>
      <c r="AG11" s="205">
        <f>COUNTIFS(DETAILS!F:F,I11,DETAILS!D:D,"*Linux*",DETAILS!G:G,"&lt;&gt;Undecided")</f>
        <v>0</v>
      </c>
      <c r="AH11" s="132">
        <f>COUNTIFS(DETAILS!F:F,I11,DETAILS!D:D,"*Linux*",DETAILS!G:G,"Undecided")</f>
        <v>0</v>
      </c>
      <c r="AI11" s="82">
        <f>COUNTIFS(DETAILS!F:F,I11,DETAILS!D:D,"*Local Credentials",DETAILS!G:G,"&lt;&gt;Undecided")</f>
        <v>0</v>
      </c>
      <c r="AJ11" s="133">
        <f>COUNTIFS(DETAILS!F:F,I11,DETAILS!D:D,"*Local Credentials",DETAILS!G:G,"Undecided")</f>
        <v>0</v>
      </c>
      <c r="AK11" s="170">
        <f>COUNTIFS(DETAILS!F:F,I11,DETAILS!D:D,"*Administrator Impersonation",DETAILS!G:G,"&lt;&gt;Undecided")</f>
        <v>0</v>
      </c>
      <c r="AL11" s="168">
        <f>COUNTIFS(DETAILS!F:F,I11,DETAILS!D:D,"*Administrator Impersonation",DETAILS!G:G,"Undecided")</f>
        <v>0</v>
      </c>
      <c r="AM11" s="102">
        <f>COUNTIFS(DETAILS!F:F,I11,DETAILS!D:D,"*Service Account",DETAILS!G:G,"&lt;&gt;Undecided")</f>
        <v>0</v>
      </c>
      <c r="AN11" s="133">
        <f>COUNTIFS(DETAILS!F:F,I11,DETAILS!D:D,"*Service Account",DETAILS!G:G,"Undecided")</f>
        <v>0</v>
      </c>
      <c r="AP11" s="45">
        <f t="shared" si="0"/>
        <v>0</v>
      </c>
    </row>
    <row r="12" spans="2:42" x14ac:dyDescent="0.35">
      <c r="B12" s="50">
        <f>COUNTIFS(DETAILS!A:A,I12,DETAILS!D:D,"Ingress from Privileged Account",DETAILS!H:H,"")</f>
        <v>0</v>
      </c>
      <c r="C12" s="50">
        <f>COUNTIFS(DETAILS!A:A,I12,DETAILS!D:D,"Brute Force*",DETAILS!H:H,"")</f>
        <v>0</v>
      </c>
      <c r="D12" s="50">
        <f>COUNTIFS(DETAILS!A:A,I12,DETAILS!D:D,$AA$2,DETAILS!H:H,"")</f>
        <v>0</v>
      </c>
      <c r="E12" s="50">
        <f>COUNTIFS(DETAILS!A:A,I12,DETAILS!D:D,"Lateral Movement*",DETAILS!H:H,"")</f>
        <v>0</v>
      </c>
      <c r="F12" s="51"/>
      <c r="G12" s="51">
        <f>COUNTIFS(DETAILS!A:A,I12,DETAILS!G:G,"Undecided",DETAILS!D:D,"Account Enabled")+COUNTIFS(DETAILS!A:A,I12,DETAILS!G:G,"Undecided",DETAILS!D:D,"LDAP Admin Added")+COUNTIFS(DETAILS!A:A,I12,DETAILS!G:G,"Undecided",DETAILS!D:D,"Account Password Reset")</f>
        <v>0</v>
      </c>
      <c r="H12" s="52">
        <f>COUNTIFS(DETAILS!A:A,I12,DETAILS!G:G,"Undecided",DETAILS!D:D,"Virus Alert")</f>
        <v>0</v>
      </c>
      <c r="I12" s="53">
        <v>45427</v>
      </c>
      <c r="J12" s="54">
        <f>COUNTIFS(DETAILS!F:F,I12,DETAILS!G:G,"Undecided")</f>
        <v>0</v>
      </c>
      <c r="K12" s="54">
        <f>COUNTIFS(DETAILS!F:F,I12,DETAILS!G:G,"Benign")</f>
        <v>0</v>
      </c>
      <c r="L12" s="54">
        <f>COUNTIFS(DETAILS!F:F,I12,DETAILS!G:G,"Malicious")</f>
        <v>0</v>
      </c>
      <c r="M12" s="54">
        <f>COUNTIFS(DETAILS!F:F,I12,DETAILS!G:G,"Not Applicable")</f>
        <v>0</v>
      </c>
      <c r="N12" s="45"/>
      <c r="O12" s="82">
        <f>COUNTIFS(DETAILS!F:F,I12,DETAILS!D:D,$O$1,DETAILS!G:G,"&lt;&gt;Undecided")</f>
        <v>0</v>
      </c>
      <c r="P12" s="131">
        <f>COUNTIFS(DETAILS!F:F,I12,DETAILS!D:D,$O$1,DETAILS!G:G,"Undecided")</f>
        <v>0</v>
      </c>
      <c r="Q12" s="205">
        <f>COUNTIFS(DETAILS!F:F,I12,DETAILS!D:D,$Q$1,DETAILS!G:G,"&lt;&gt;Undecided")</f>
        <v>0</v>
      </c>
      <c r="R12" s="132">
        <f>COUNTIFS(DETAILS!F:F,I12,DETAILS!D:D,$Q$1,DETAILS!G:G,"Undecided")</f>
        <v>0</v>
      </c>
      <c r="S12" s="82">
        <f>COUNTIFS(DETAILS!F:F,I12,DETAILS!D:D,$S$1,DETAILS!G:G,"&lt;&gt;Undecided")</f>
        <v>0</v>
      </c>
      <c r="T12" s="131">
        <f>COUNTIFS(DETAILS!F:F,I12,DETAILS!D:D,$S$1,DETAILS!G:G,"Undecided")</f>
        <v>0</v>
      </c>
      <c r="U12" s="82">
        <f>COUNTIFS(DETAILS!F:F,I12,DETAILS!D:D,"Brute Force*",DETAILS!G:G,"&lt;&gt;Undecided")</f>
        <v>0</v>
      </c>
      <c r="V12" s="131">
        <f>COUNTIFS(DETAILS!F:F,I12,DETAILS!D:D,"Brute Force*",DETAILS!G:G,"Undecided")</f>
        <v>0</v>
      </c>
      <c r="W12" s="83">
        <f>COUNTIFS(DETAILS!F:F,I12,DETAILS!D:D,$W$1,DETAILS!G:G,"&lt;&gt;Undecided")</f>
        <v>0</v>
      </c>
      <c r="X12" s="132">
        <f>COUNTIFS(DETAILS!F:F,I12,DETAILS!D:D,$W$1,DETAILS!G:G,"Undecided")</f>
        <v>0</v>
      </c>
      <c r="Y12" s="82">
        <f>COUNTIFS(DETAILS!F:F,I12,DETAILS!D:D,$Y$1,DETAILS!G:G,"&lt;&gt;Undecided")</f>
        <v>0</v>
      </c>
      <c r="Z12" s="131">
        <f>COUNTIFS(DETAILS!F:F,I12,DETAILS!D:D,$Y$1,DETAILS!G:G,"Undecided")</f>
        <v>0</v>
      </c>
      <c r="AA12" s="82">
        <f>COUNTIFS(DETAILS!F:F,I12,DETAILS!D:D,$AA$1,DETAILS!G:G,"&lt;&gt;Undecided")</f>
        <v>0</v>
      </c>
      <c r="AB12" s="131">
        <f>COUNTIFS(DETAILS!F:F,I12,DETAILS!D:D,$AA$1,DETAILS!G:G,"Undecided")</f>
        <v>0</v>
      </c>
      <c r="AC12" s="83">
        <f>COUNTIFS(DETAILS!F:F,I12,DETAILS!D:D,$AC$1,DETAILS!G:G,"&lt;&gt;Undecided")</f>
        <v>0</v>
      </c>
      <c r="AD12" s="132">
        <f>COUNTIFS(DETAILS!F:F,I12,DETAILS!D:D,$AC$1,DETAILS!G:G,"Undecided")</f>
        <v>0</v>
      </c>
      <c r="AE12" s="171">
        <f>COUNTIFS(DETAILS!F:F,I12,DETAILS!D:D,$AE$1,DETAILS!G:G,"&lt;&gt;Undecided")</f>
        <v>0</v>
      </c>
      <c r="AF12" s="131">
        <f>COUNTIFS(DETAILS!F:F,I12,DETAILS!D:D,$AE$1,DETAILS!G:G,"Undecided")</f>
        <v>0</v>
      </c>
      <c r="AG12" s="205">
        <f>COUNTIFS(DETAILS!F:F,I12,DETAILS!D:D,"*Linux*",DETAILS!G:G,"&lt;&gt;Undecided")</f>
        <v>0</v>
      </c>
      <c r="AH12" s="132">
        <f>COUNTIFS(DETAILS!F:F,I12,DETAILS!D:D,"*Linux*",DETAILS!G:G,"Undecided")</f>
        <v>0</v>
      </c>
      <c r="AI12" s="82">
        <f>COUNTIFS(DETAILS!F:F,I12,DETAILS!D:D,"*Local Credentials",DETAILS!G:G,"&lt;&gt;Undecided")</f>
        <v>0</v>
      </c>
      <c r="AJ12" s="133">
        <f>COUNTIFS(DETAILS!F:F,I12,DETAILS!D:D,"*Local Credentials",DETAILS!G:G,"Undecided")</f>
        <v>0</v>
      </c>
      <c r="AK12" s="170">
        <f>COUNTIFS(DETAILS!F:F,I12,DETAILS!D:D,"*Administrator Impersonation",DETAILS!G:G,"&lt;&gt;Undecided")</f>
        <v>0</v>
      </c>
      <c r="AL12" s="168">
        <f>COUNTIFS(DETAILS!F:F,I12,DETAILS!D:D,"*Administrator Impersonation",DETAILS!G:G,"Undecided")</f>
        <v>0</v>
      </c>
      <c r="AM12" s="102">
        <f>COUNTIFS(DETAILS!F:F,I12,DETAILS!D:D,"*Service Account",DETAILS!G:G,"&lt;&gt;Undecided")</f>
        <v>0</v>
      </c>
      <c r="AN12" s="133">
        <f>COUNTIFS(DETAILS!F:F,I12,DETAILS!D:D,"*Service Account",DETAILS!G:G,"Undecided")</f>
        <v>0</v>
      </c>
      <c r="AP12" s="45">
        <f t="shared" si="0"/>
        <v>0</v>
      </c>
    </row>
    <row r="13" spans="2:42" x14ac:dyDescent="0.35">
      <c r="B13" s="50">
        <f>COUNTIFS(DETAILS!A:A,I13,DETAILS!D:D,"Ingress from Privileged Account",DETAILS!H:H,"")</f>
        <v>0</v>
      </c>
      <c r="C13" s="50">
        <f>COUNTIFS(DETAILS!A:A,I13,DETAILS!D:D,"Brute Force*",DETAILS!H:H,"")</f>
        <v>0</v>
      </c>
      <c r="D13" s="50">
        <f>COUNTIFS(DETAILS!A:A,I13,DETAILS!D:D,$AA$2,DETAILS!H:H,"")</f>
        <v>0</v>
      </c>
      <c r="E13" s="50">
        <f>COUNTIFS(DETAILS!A:A,I13,DETAILS!D:D,"Lateral Movement*",DETAILS!H:H,"")</f>
        <v>0</v>
      </c>
      <c r="F13" s="51"/>
      <c r="G13" s="51">
        <f>COUNTIFS(DETAILS!A:A,I13,DETAILS!G:G,"Undecided",DETAILS!D:D,"Account Enabled")+COUNTIFS(DETAILS!A:A,I13,DETAILS!G:G,"Undecided",DETAILS!D:D,"LDAP Admin Added")+COUNTIFS(DETAILS!A:A,I13,DETAILS!G:G,"Undecided",DETAILS!D:D,"Account Password Reset")</f>
        <v>0</v>
      </c>
      <c r="H13" s="52">
        <f>COUNTIFS(DETAILS!A:A,I13,DETAILS!G:G,"Undecided",DETAILS!D:D,"Virus Alert")</f>
        <v>0</v>
      </c>
      <c r="I13" s="53">
        <v>45428</v>
      </c>
      <c r="J13" s="54">
        <f>COUNTIFS(DETAILS!F:F,I13,DETAILS!G:G,"Undecided")</f>
        <v>0</v>
      </c>
      <c r="K13" s="54">
        <f>COUNTIFS(DETAILS!F:F,I13,DETAILS!G:G,"Benign")</f>
        <v>0</v>
      </c>
      <c r="L13" s="54">
        <f>COUNTIFS(DETAILS!F:F,I13,DETAILS!G:G,"Malicious")</f>
        <v>0</v>
      </c>
      <c r="M13" s="54">
        <f>COUNTIFS(DETAILS!F:F,I13,DETAILS!G:G,"Not Applicable")</f>
        <v>0</v>
      </c>
      <c r="N13" s="45"/>
      <c r="O13" s="82">
        <f>COUNTIFS(DETAILS!F:F,I13,DETAILS!D:D,$O$1,DETAILS!G:G,"&lt;&gt;Undecided")</f>
        <v>0</v>
      </c>
      <c r="P13" s="131">
        <f>COUNTIFS(DETAILS!F:F,I13,DETAILS!D:D,$O$1,DETAILS!G:G,"Undecided")</f>
        <v>0</v>
      </c>
      <c r="Q13" s="205">
        <f>COUNTIFS(DETAILS!F:F,I13,DETAILS!D:D,$Q$1,DETAILS!G:G,"&lt;&gt;Undecided")</f>
        <v>0</v>
      </c>
      <c r="R13" s="132">
        <f>COUNTIFS(DETAILS!F:F,I13,DETAILS!D:D,$Q$1,DETAILS!G:G,"Undecided")</f>
        <v>0</v>
      </c>
      <c r="S13" s="82">
        <f>COUNTIFS(DETAILS!F:F,I13,DETAILS!D:D,$S$1,DETAILS!G:G,"&lt;&gt;Undecided")</f>
        <v>0</v>
      </c>
      <c r="T13" s="131">
        <f>COUNTIFS(DETAILS!F:F,I13,DETAILS!D:D,$S$1,DETAILS!G:G,"Undecided")</f>
        <v>0</v>
      </c>
      <c r="U13" s="82">
        <f>COUNTIFS(DETAILS!F:F,I13,DETAILS!D:D,"Brute Force*",DETAILS!G:G,"&lt;&gt;Undecided")</f>
        <v>0</v>
      </c>
      <c r="V13" s="131">
        <f>COUNTIFS(DETAILS!F:F,I13,DETAILS!D:D,"Brute Force*",DETAILS!G:G,"Undecided")</f>
        <v>0</v>
      </c>
      <c r="W13" s="83">
        <f>COUNTIFS(DETAILS!F:F,I13,DETAILS!D:D,$W$1,DETAILS!G:G,"&lt;&gt;Undecided")</f>
        <v>0</v>
      </c>
      <c r="X13" s="132">
        <f>COUNTIFS(DETAILS!F:F,I13,DETAILS!D:D,$W$1,DETAILS!G:G,"Undecided")</f>
        <v>0</v>
      </c>
      <c r="Y13" s="82">
        <f>COUNTIFS(DETAILS!F:F,I13,DETAILS!D:D,$Y$1,DETAILS!G:G,"&lt;&gt;Undecided")</f>
        <v>0</v>
      </c>
      <c r="Z13" s="131">
        <f>COUNTIFS(DETAILS!F:F,I13,DETAILS!D:D,$Y$1,DETAILS!G:G,"Undecided")</f>
        <v>0</v>
      </c>
      <c r="AA13" s="82">
        <f>COUNTIFS(DETAILS!F:F,I13,DETAILS!D:D,$AA$1,DETAILS!G:G,"&lt;&gt;Undecided")</f>
        <v>0</v>
      </c>
      <c r="AB13" s="131">
        <f>COUNTIFS(DETAILS!F:F,I13,DETAILS!D:D,$AA$1,DETAILS!G:G,"Undecided")</f>
        <v>0</v>
      </c>
      <c r="AC13" s="83">
        <f>COUNTIFS(DETAILS!F:F,I13,DETAILS!D:D,$AC$1,DETAILS!G:G,"&lt;&gt;Undecided")</f>
        <v>0</v>
      </c>
      <c r="AD13" s="132">
        <f>COUNTIFS(DETAILS!F:F,I13,DETAILS!D:D,$AC$1,DETAILS!G:G,"Undecided")</f>
        <v>0</v>
      </c>
      <c r="AE13" s="171">
        <f>COUNTIFS(DETAILS!F:F,I13,DETAILS!D:D,$AE$1,DETAILS!G:G,"&lt;&gt;Undecided")</f>
        <v>0</v>
      </c>
      <c r="AF13" s="131">
        <f>COUNTIFS(DETAILS!F:F,I13,DETAILS!D:D,$AE$1,DETAILS!G:G,"Undecided")</f>
        <v>0</v>
      </c>
      <c r="AG13" s="205">
        <f>COUNTIFS(DETAILS!F:F,I13,DETAILS!D:D,"*Linux*",DETAILS!G:G,"&lt;&gt;Undecided")</f>
        <v>0</v>
      </c>
      <c r="AH13" s="132">
        <f>COUNTIFS(DETAILS!F:F,I13,DETAILS!D:D,"*Linux*",DETAILS!G:G,"Undecided")</f>
        <v>0</v>
      </c>
      <c r="AI13" s="82">
        <f>COUNTIFS(DETAILS!F:F,I13,DETAILS!D:D,"*Local Credentials",DETAILS!G:G,"&lt;&gt;Undecided")</f>
        <v>0</v>
      </c>
      <c r="AJ13" s="133">
        <f>COUNTIFS(DETAILS!F:F,I13,DETAILS!D:D,"*Local Credentials",DETAILS!G:G,"Undecided")</f>
        <v>0</v>
      </c>
      <c r="AK13" s="170">
        <f>COUNTIFS(DETAILS!F:F,I13,DETAILS!D:D,"*Administrator Impersonation",DETAILS!G:G,"&lt;&gt;Undecided")</f>
        <v>0</v>
      </c>
      <c r="AL13" s="168">
        <f>COUNTIFS(DETAILS!F:F,I13,DETAILS!D:D,"*Administrator Impersonation",DETAILS!G:G,"Undecided")</f>
        <v>0</v>
      </c>
      <c r="AM13" s="102">
        <f>COUNTIFS(DETAILS!F:F,I13,DETAILS!D:D,"*Service Account",DETAILS!G:G,"&lt;&gt;Undecided")</f>
        <v>0</v>
      </c>
      <c r="AN13" s="133">
        <f>COUNTIFS(DETAILS!F:F,I13,DETAILS!D:D,"*Service Account",DETAILS!G:G,"Undecided")</f>
        <v>0</v>
      </c>
      <c r="AP13" s="45">
        <f t="shared" si="0"/>
        <v>0</v>
      </c>
    </row>
    <row r="14" spans="2:42" x14ac:dyDescent="0.35">
      <c r="B14" s="50">
        <f>COUNTIFS(DETAILS!A:A,I14,DETAILS!D:D,"Ingress from Privileged Account",DETAILS!H:H,"")</f>
        <v>0</v>
      </c>
      <c r="C14" s="50">
        <f>COUNTIFS(DETAILS!A:A,I14,DETAILS!D:D,"Brute Force*",DETAILS!H:H,"")</f>
        <v>0</v>
      </c>
      <c r="D14" s="50">
        <f>COUNTIFS(DETAILS!A:A,I14,DETAILS!D:D,$AA$2,DETAILS!H:H,"")</f>
        <v>0</v>
      </c>
      <c r="E14" s="50">
        <f>COUNTIFS(DETAILS!A:A,I14,DETAILS!D:D,"Lateral Movement*",DETAILS!H:H,"")</f>
        <v>0</v>
      </c>
      <c r="F14" s="51"/>
      <c r="G14" s="51">
        <f>COUNTIFS(DETAILS!A:A,I14,DETAILS!G:G,"Undecided",DETAILS!D:D,"Account Enabled")+COUNTIFS(DETAILS!A:A,I14,DETAILS!G:G,"Undecided",DETAILS!D:D,"LDAP Admin Added")+COUNTIFS(DETAILS!A:A,I14,DETAILS!G:G,"Undecided",DETAILS!D:D,"Account Password Reset")</f>
        <v>0</v>
      </c>
      <c r="H14" s="52">
        <f>COUNTIFS(DETAILS!A:A,I14,DETAILS!G:G,"Undecided",DETAILS!D:D,"Virus Alert")</f>
        <v>0</v>
      </c>
      <c r="I14" s="53">
        <v>45429</v>
      </c>
      <c r="J14" s="54">
        <f>COUNTIFS(DETAILS!F:F,I14,DETAILS!G:G,"Undecided")</f>
        <v>0</v>
      </c>
      <c r="K14" s="54">
        <f>COUNTIFS(DETAILS!F:F,I14,DETAILS!G:G,"Benign")</f>
        <v>0</v>
      </c>
      <c r="L14" s="54">
        <f>COUNTIFS(DETAILS!F:F,I14,DETAILS!G:G,"Malicious")</f>
        <v>0</v>
      </c>
      <c r="M14" s="54">
        <f>COUNTIFS(DETAILS!F:F,I14,DETAILS!G:G,"Not Applicable")</f>
        <v>0</v>
      </c>
      <c r="N14" s="45"/>
      <c r="O14" s="82">
        <f>COUNTIFS(DETAILS!F:F,I14,DETAILS!D:D,$O$1,DETAILS!G:G,"&lt;&gt;Undecided")</f>
        <v>0</v>
      </c>
      <c r="P14" s="131">
        <f>COUNTIFS(DETAILS!F:F,I14,DETAILS!D:D,$O$1,DETAILS!G:G,"Undecided")</f>
        <v>0</v>
      </c>
      <c r="Q14" s="205">
        <f>COUNTIFS(DETAILS!F:F,I14,DETAILS!D:D,$Q$1,DETAILS!G:G,"&lt;&gt;Undecided")</f>
        <v>0</v>
      </c>
      <c r="R14" s="132">
        <f>COUNTIFS(DETAILS!F:F,I14,DETAILS!D:D,$Q$1,DETAILS!G:G,"Undecided")</f>
        <v>0</v>
      </c>
      <c r="S14" s="82">
        <f>COUNTIFS(DETAILS!F:F,I14,DETAILS!D:D,$S$1,DETAILS!G:G,"&lt;&gt;Undecided")</f>
        <v>0</v>
      </c>
      <c r="T14" s="131">
        <f>COUNTIFS(DETAILS!F:F,I14,DETAILS!D:D,$S$1,DETAILS!G:G,"Undecided")</f>
        <v>0</v>
      </c>
      <c r="U14" s="82">
        <f>COUNTIFS(DETAILS!F:F,I14,DETAILS!D:D,"Brute Force*",DETAILS!G:G,"&lt;&gt;Undecided")</f>
        <v>0</v>
      </c>
      <c r="V14" s="131">
        <f>COUNTIFS(DETAILS!F:F,I14,DETAILS!D:D,"Brute Force*",DETAILS!G:G,"Undecided")</f>
        <v>0</v>
      </c>
      <c r="W14" s="83">
        <f>COUNTIFS(DETAILS!F:F,I14,DETAILS!D:D,$W$1,DETAILS!G:G,"&lt;&gt;Undecided")</f>
        <v>0</v>
      </c>
      <c r="X14" s="132">
        <f>COUNTIFS(DETAILS!F:F,I14,DETAILS!D:D,$W$1,DETAILS!G:G,"Undecided")</f>
        <v>0</v>
      </c>
      <c r="Y14" s="82">
        <f>COUNTIFS(DETAILS!F:F,I14,DETAILS!D:D,$Y$1,DETAILS!G:G,"&lt;&gt;Undecided")</f>
        <v>0</v>
      </c>
      <c r="Z14" s="131">
        <f>COUNTIFS(DETAILS!F:F,I14,DETAILS!D:D,$Y$1,DETAILS!G:G,"Undecided")</f>
        <v>0</v>
      </c>
      <c r="AA14" s="82">
        <f>COUNTIFS(DETAILS!F:F,I14,DETAILS!D:D,$AA$1,DETAILS!G:G,"&lt;&gt;Undecided")</f>
        <v>0</v>
      </c>
      <c r="AB14" s="131">
        <f>COUNTIFS(DETAILS!F:F,I14,DETAILS!D:D,$AA$1,DETAILS!G:G,"Undecided")</f>
        <v>0</v>
      </c>
      <c r="AC14" s="83">
        <f>COUNTIFS(DETAILS!F:F,I14,DETAILS!D:D,$AC$1,DETAILS!G:G,"&lt;&gt;Undecided")</f>
        <v>0</v>
      </c>
      <c r="AD14" s="132">
        <f>COUNTIFS(DETAILS!F:F,I14,DETAILS!D:D,$AC$1,DETAILS!G:G,"Undecided")</f>
        <v>0</v>
      </c>
      <c r="AE14" s="171">
        <f>COUNTIFS(DETAILS!F:F,I14,DETAILS!D:D,$AE$1,DETAILS!G:G,"&lt;&gt;Undecided")</f>
        <v>0</v>
      </c>
      <c r="AF14" s="131">
        <f>COUNTIFS(DETAILS!F:F,I14,DETAILS!D:D,$AE$1,DETAILS!G:G,"Undecided")</f>
        <v>0</v>
      </c>
      <c r="AG14" s="205">
        <f>COUNTIFS(DETAILS!F:F,I14,DETAILS!D:D,"*Linux*",DETAILS!G:G,"&lt;&gt;Undecided")</f>
        <v>0</v>
      </c>
      <c r="AH14" s="132">
        <f>COUNTIFS(DETAILS!F:F,I14,DETAILS!D:D,"*Linux*",DETAILS!G:G,"Undecided")</f>
        <v>0</v>
      </c>
      <c r="AI14" s="82">
        <f>COUNTIFS(DETAILS!F:F,I14,DETAILS!D:D,"*Local Credentials",DETAILS!G:G,"&lt;&gt;Undecided")</f>
        <v>0</v>
      </c>
      <c r="AJ14" s="133">
        <f>COUNTIFS(DETAILS!F:F,I14,DETAILS!D:D,"*Local Credentials",DETAILS!G:G,"Undecided")</f>
        <v>0</v>
      </c>
      <c r="AK14" s="170">
        <f>COUNTIFS(DETAILS!F:F,I14,DETAILS!D:D,"*Administrator Impersonation",DETAILS!G:G,"&lt;&gt;Undecided")</f>
        <v>0</v>
      </c>
      <c r="AL14" s="168">
        <f>COUNTIFS(DETAILS!F:F,I14,DETAILS!D:D,"*Administrator Impersonation",DETAILS!G:G,"Undecided")</f>
        <v>0</v>
      </c>
      <c r="AM14" s="102">
        <f>COUNTIFS(DETAILS!F:F,I14,DETAILS!D:D,"*Service Account",DETAILS!G:G,"&lt;&gt;Undecided")</f>
        <v>0</v>
      </c>
      <c r="AN14" s="133">
        <f>COUNTIFS(DETAILS!F:F,I14,DETAILS!D:D,"*Service Account",DETAILS!G:G,"Undecided")</f>
        <v>0</v>
      </c>
      <c r="AP14" s="45">
        <f t="shared" si="0"/>
        <v>0</v>
      </c>
    </row>
    <row r="15" spans="2:42" x14ac:dyDescent="0.35">
      <c r="B15" s="50">
        <f>COUNTIFS(DETAILS!A:A,I15,DETAILS!D:D,"Ingress from Privileged Account",DETAILS!H:H,"")</f>
        <v>0</v>
      </c>
      <c r="C15" s="50">
        <f>COUNTIFS(DETAILS!A:A,I15,DETAILS!D:D,"Brute Force*",DETAILS!H:H,"")</f>
        <v>0</v>
      </c>
      <c r="D15" s="50">
        <f>COUNTIFS(DETAILS!A:A,I15,DETAILS!D:D,$AA$2,DETAILS!H:H,"")</f>
        <v>0</v>
      </c>
      <c r="E15" s="50">
        <f>COUNTIFS(DETAILS!A:A,I15,DETAILS!D:D,"Lateral Movement*",DETAILS!H:H,"")</f>
        <v>0</v>
      </c>
      <c r="F15" s="51"/>
      <c r="G15" s="51">
        <f>COUNTIFS(DETAILS!A:A,I15,DETAILS!G:G,"Undecided",DETAILS!D:D,"Account Enabled")+COUNTIFS(DETAILS!A:A,I15,DETAILS!G:G,"Undecided",DETAILS!D:D,"LDAP Admin Added")+COUNTIFS(DETAILS!A:A,I15,DETAILS!G:G,"Undecided",DETAILS!D:D,"Account Password Reset")</f>
        <v>0</v>
      </c>
      <c r="H15" s="52">
        <f>COUNTIFS(DETAILS!A:A,I15,DETAILS!G:G,"Undecided",DETAILS!D:D,"Virus Alert")</f>
        <v>0</v>
      </c>
      <c r="I15" s="53">
        <v>45430</v>
      </c>
      <c r="J15" s="54">
        <f>COUNTIFS(DETAILS!F:F,I15,DETAILS!G:G,"Undecided")</f>
        <v>0</v>
      </c>
      <c r="K15" s="54">
        <f>COUNTIFS(DETAILS!F:F,I15,DETAILS!G:G,"Benign")</f>
        <v>0</v>
      </c>
      <c r="L15" s="54">
        <f>COUNTIFS(DETAILS!F:F,I15,DETAILS!G:G,"Malicious")</f>
        <v>0</v>
      </c>
      <c r="M15" s="54">
        <f>COUNTIFS(DETAILS!F:F,I15,DETAILS!G:G,"Not Applicable")</f>
        <v>0</v>
      </c>
      <c r="N15" s="45"/>
      <c r="O15" s="82">
        <f>COUNTIFS(DETAILS!F:F,I15,DETAILS!D:D,$O$1,DETAILS!G:G,"&lt;&gt;Undecided")</f>
        <v>0</v>
      </c>
      <c r="P15" s="131">
        <f>COUNTIFS(DETAILS!F:F,I15,DETAILS!D:D,$O$1,DETAILS!G:G,"Undecided")</f>
        <v>0</v>
      </c>
      <c r="Q15" s="205">
        <f>COUNTIFS(DETAILS!F:F,I15,DETAILS!D:D,$Q$1,DETAILS!G:G,"&lt;&gt;Undecided")</f>
        <v>0</v>
      </c>
      <c r="R15" s="132">
        <f>COUNTIFS(DETAILS!F:F,I15,DETAILS!D:D,$Q$1,DETAILS!G:G,"Undecided")</f>
        <v>0</v>
      </c>
      <c r="S15" s="82">
        <f>COUNTIFS(DETAILS!F:F,I15,DETAILS!D:D,$S$1,DETAILS!G:G,"&lt;&gt;Undecided")</f>
        <v>0</v>
      </c>
      <c r="T15" s="131">
        <f>COUNTIFS(DETAILS!F:F,I15,DETAILS!D:D,$S$1,DETAILS!G:G,"Undecided")</f>
        <v>0</v>
      </c>
      <c r="U15" s="82">
        <f>COUNTIFS(DETAILS!F:F,I15,DETAILS!D:D,"Brute Force*",DETAILS!G:G,"&lt;&gt;Undecided")</f>
        <v>0</v>
      </c>
      <c r="V15" s="131">
        <f>COUNTIFS(DETAILS!F:F,I15,DETAILS!D:D,"Brute Force*",DETAILS!G:G,"Undecided")</f>
        <v>0</v>
      </c>
      <c r="W15" s="83">
        <f>COUNTIFS(DETAILS!F:F,I15,DETAILS!D:D,$W$1,DETAILS!G:G,"&lt;&gt;Undecided")</f>
        <v>0</v>
      </c>
      <c r="X15" s="132">
        <f>COUNTIFS(DETAILS!F:F,I15,DETAILS!D:D,$W$1,DETAILS!G:G,"Undecided")</f>
        <v>0</v>
      </c>
      <c r="Y15" s="82">
        <f>COUNTIFS(DETAILS!F:F,I15,DETAILS!D:D,$Y$1,DETAILS!G:G,"&lt;&gt;Undecided")</f>
        <v>0</v>
      </c>
      <c r="Z15" s="131">
        <f>COUNTIFS(DETAILS!F:F,I15,DETAILS!D:D,$Y$1,DETAILS!G:G,"Undecided")</f>
        <v>0</v>
      </c>
      <c r="AA15" s="82">
        <f>COUNTIFS(DETAILS!F:F,I15,DETAILS!D:D,$AA$1,DETAILS!G:G,"&lt;&gt;Undecided")</f>
        <v>0</v>
      </c>
      <c r="AB15" s="131">
        <f>COUNTIFS(DETAILS!F:F,I15,DETAILS!D:D,$AA$1,DETAILS!G:G,"Undecided")</f>
        <v>0</v>
      </c>
      <c r="AC15" s="83">
        <f>COUNTIFS(DETAILS!F:F,I15,DETAILS!D:D,$AC$1,DETAILS!G:G,"&lt;&gt;Undecided")</f>
        <v>0</v>
      </c>
      <c r="AD15" s="132">
        <f>COUNTIFS(DETAILS!F:F,I15,DETAILS!D:D,$AC$1,DETAILS!G:G,"Undecided")</f>
        <v>0</v>
      </c>
      <c r="AE15" s="171">
        <f>COUNTIFS(DETAILS!F:F,I15,DETAILS!D:D,$AE$1,DETAILS!G:G,"&lt;&gt;Undecided")</f>
        <v>0</v>
      </c>
      <c r="AF15" s="131">
        <f>COUNTIFS(DETAILS!F:F,I15,DETAILS!D:D,$AE$1,DETAILS!G:G,"Undecided")</f>
        <v>0</v>
      </c>
      <c r="AG15" s="205">
        <f>COUNTIFS(DETAILS!F:F,I15,DETAILS!D:D,"*Linux*",DETAILS!G:G,"&lt;&gt;Undecided")</f>
        <v>0</v>
      </c>
      <c r="AH15" s="132">
        <f>COUNTIFS(DETAILS!F:F,I15,DETAILS!D:D,"*Linux*",DETAILS!G:G,"Undecided")</f>
        <v>0</v>
      </c>
      <c r="AI15" s="82">
        <f>COUNTIFS(DETAILS!F:F,I15,DETAILS!D:D,"*Local Credentials",DETAILS!G:G,"&lt;&gt;Undecided")</f>
        <v>0</v>
      </c>
      <c r="AJ15" s="133">
        <f>COUNTIFS(DETAILS!F:F,I15,DETAILS!D:D,"*Local Credentials",DETAILS!G:G,"Undecided")</f>
        <v>0</v>
      </c>
      <c r="AK15" s="170">
        <f>COUNTIFS(DETAILS!F:F,I15,DETAILS!D:D,"*Administrator Impersonation",DETAILS!G:G,"&lt;&gt;Undecided")</f>
        <v>0</v>
      </c>
      <c r="AL15" s="168">
        <f>COUNTIFS(DETAILS!F:F,I15,DETAILS!D:D,"*Administrator Impersonation",DETAILS!G:G,"Undecided")</f>
        <v>0</v>
      </c>
      <c r="AM15" s="102">
        <f>COUNTIFS(DETAILS!F:F,I15,DETAILS!D:D,"*Service Account",DETAILS!G:G,"&lt;&gt;Undecided")</f>
        <v>0</v>
      </c>
      <c r="AN15" s="133">
        <f>COUNTIFS(DETAILS!F:F,I15,DETAILS!D:D,"*Service Account",DETAILS!G:G,"Undecided")</f>
        <v>0</v>
      </c>
      <c r="AP15" s="45">
        <f t="shared" si="0"/>
        <v>0</v>
      </c>
    </row>
    <row r="16" spans="2:42" x14ac:dyDescent="0.35">
      <c r="B16" s="50">
        <f>COUNTIFS(DETAILS!A:A,I16,DETAILS!D:D,"Ingress from Privileged Account",DETAILS!H:H,"")</f>
        <v>0</v>
      </c>
      <c r="C16" s="50">
        <f>COUNTIFS(DETAILS!A:A,I16,DETAILS!D:D,"Brute Force*",DETAILS!H:H,"")</f>
        <v>0</v>
      </c>
      <c r="D16" s="50">
        <f>COUNTIFS(DETAILS!A:A,I16,DETAILS!D:D,$AA$2,DETAILS!H:H,"")</f>
        <v>0</v>
      </c>
      <c r="E16" s="50">
        <f>COUNTIFS(DETAILS!A:A,I16,DETAILS!D:D,"Lateral Movement*",DETAILS!H:H,"")</f>
        <v>0</v>
      </c>
      <c r="F16" s="51"/>
      <c r="G16" s="51">
        <f>COUNTIFS(DETAILS!A:A,I16,DETAILS!G:G,"Undecided",DETAILS!D:D,"Account Enabled")+COUNTIFS(DETAILS!A:A,I16,DETAILS!G:G,"Undecided",DETAILS!D:D,"LDAP Admin Added")+COUNTIFS(DETAILS!A:A,I16,DETAILS!G:G,"Undecided",DETAILS!D:D,"Account Password Reset")</f>
        <v>0</v>
      </c>
      <c r="H16" s="52">
        <f>COUNTIFS(DETAILS!A:A,I16,DETAILS!G:G,"Undecided",DETAILS!D:D,"Virus Alert")</f>
        <v>0</v>
      </c>
      <c r="I16" s="53">
        <v>45431</v>
      </c>
      <c r="J16" s="54">
        <f>COUNTIFS(DETAILS!F:F,I16,DETAILS!G:G,"Undecided")</f>
        <v>0</v>
      </c>
      <c r="K16" s="54">
        <f>COUNTIFS(DETAILS!F:F,I16,DETAILS!G:G,"Benign")</f>
        <v>0</v>
      </c>
      <c r="L16" s="54">
        <f>COUNTIFS(DETAILS!F:F,I16,DETAILS!G:G,"Malicious")</f>
        <v>0</v>
      </c>
      <c r="M16" s="54">
        <f>COUNTIFS(DETAILS!F:F,I16,DETAILS!G:G,"Not Applicable")</f>
        <v>0</v>
      </c>
      <c r="N16" s="45"/>
      <c r="O16" s="82">
        <f>COUNTIFS(DETAILS!F:F,I16,DETAILS!D:D,$O$1,DETAILS!G:G,"&lt;&gt;Undecided")</f>
        <v>0</v>
      </c>
      <c r="P16" s="131">
        <f>COUNTIFS(DETAILS!F:F,I16,DETAILS!D:D,$O$1,DETAILS!G:G,"Undecided")</f>
        <v>0</v>
      </c>
      <c r="Q16" s="205">
        <f>COUNTIFS(DETAILS!F:F,I16,DETAILS!D:D,$Q$1,DETAILS!G:G,"&lt;&gt;Undecided")</f>
        <v>0</v>
      </c>
      <c r="R16" s="132">
        <f>COUNTIFS(DETAILS!F:F,I16,DETAILS!D:D,$Q$1,DETAILS!G:G,"Undecided")</f>
        <v>0</v>
      </c>
      <c r="S16" s="82">
        <f>COUNTIFS(DETAILS!F:F,I16,DETAILS!D:D,$S$1,DETAILS!G:G,"&lt;&gt;Undecided")</f>
        <v>0</v>
      </c>
      <c r="T16" s="131">
        <f>COUNTIFS(DETAILS!F:F,I16,DETAILS!D:D,$S$1,DETAILS!G:G,"Undecided")</f>
        <v>0</v>
      </c>
      <c r="U16" s="82">
        <f>COUNTIFS(DETAILS!F:F,I16,DETAILS!D:D,"Brute Force*",DETAILS!G:G,"&lt;&gt;Undecided")</f>
        <v>0</v>
      </c>
      <c r="V16" s="131">
        <f>COUNTIFS(DETAILS!F:F,I16,DETAILS!D:D,"Brute Force*",DETAILS!G:G,"Undecided")</f>
        <v>0</v>
      </c>
      <c r="W16" s="83">
        <f>COUNTIFS(DETAILS!F:F,I16,DETAILS!D:D,$W$1,DETAILS!G:G,"&lt;&gt;Undecided")</f>
        <v>0</v>
      </c>
      <c r="X16" s="132">
        <f>COUNTIFS(DETAILS!F:F,I16,DETAILS!D:D,$W$1,DETAILS!G:G,"Undecided")</f>
        <v>0</v>
      </c>
      <c r="Y16" s="82">
        <f>COUNTIFS(DETAILS!F:F,I16,DETAILS!D:D,$Y$1,DETAILS!G:G,"&lt;&gt;Undecided")</f>
        <v>0</v>
      </c>
      <c r="Z16" s="131">
        <f>COUNTIFS(DETAILS!F:F,I16,DETAILS!D:D,$Y$1,DETAILS!G:G,"Undecided")</f>
        <v>0</v>
      </c>
      <c r="AA16" s="82">
        <f>COUNTIFS(DETAILS!F:F,I16,DETAILS!D:D,$AA$1,DETAILS!G:G,"&lt;&gt;Undecided")</f>
        <v>0</v>
      </c>
      <c r="AB16" s="131">
        <f>COUNTIFS(DETAILS!F:F,I16,DETAILS!D:D,$AA$1,DETAILS!G:G,"Undecided")</f>
        <v>0</v>
      </c>
      <c r="AC16" s="83">
        <f>COUNTIFS(DETAILS!F:F,I16,DETAILS!D:D,$AC$1,DETAILS!G:G,"&lt;&gt;Undecided")</f>
        <v>0</v>
      </c>
      <c r="AD16" s="132">
        <f>COUNTIFS(DETAILS!F:F,I16,DETAILS!D:D,$AC$1,DETAILS!G:G,"Undecided")</f>
        <v>0</v>
      </c>
      <c r="AE16" s="171">
        <f>COUNTIFS(DETAILS!F:F,I16,DETAILS!D:D,$AE$1,DETAILS!G:G,"&lt;&gt;Undecided")</f>
        <v>0</v>
      </c>
      <c r="AF16" s="131">
        <f>COUNTIFS(DETAILS!F:F,I16,DETAILS!D:D,$AE$1,DETAILS!G:G,"Undecided")</f>
        <v>0</v>
      </c>
      <c r="AG16" s="205">
        <f>COUNTIFS(DETAILS!F:F,I16,DETAILS!D:D,"*Linux*",DETAILS!G:G,"&lt;&gt;Undecided")</f>
        <v>0</v>
      </c>
      <c r="AH16" s="132">
        <f>COUNTIFS(DETAILS!F:F,I16,DETAILS!D:D,"*Linux*",DETAILS!G:G,"Undecided")</f>
        <v>0</v>
      </c>
      <c r="AI16" s="82">
        <f>COUNTIFS(DETAILS!F:F,I16,DETAILS!D:D,"*Local Credentials",DETAILS!G:G,"&lt;&gt;Undecided")</f>
        <v>0</v>
      </c>
      <c r="AJ16" s="133">
        <f>COUNTIFS(DETAILS!F:F,I16,DETAILS!D:D,"*Local Credentials",DETAILS!G:G,"Undecided")</f>
        <v>0</v>
      </c>
      <c r="AK16" s="170">
        <f>COUNTIFS(DETAILS!F:F,I16,DETAILS!D:D,"*Administrator Impersonation",DETAILS!G:G,"&lt;&gt;Undecided")</f>
        <v>0</v>
      </c>
      <c r="AL16" s="168">
        <f>COUNTIFS(DETAILS!F:F,I16,DETAILS!D:D,"*Administrator Impersonation",DETAILS!G:G,"Undecided")</f>
        <v>0</v>
      </c>
      <c r="AM16" s="102">
        <f>COUNTIFS(DETAILS!F:F,I16,DETAILS!D:D,"*Service Account",DETAILS!G:G,"&lt;&gt;Undecided")</f>
        <v>0</v>
      </c>
      <c r="AN16" s="133">
        <f>COUNTIFS(DETAILS!F:F,I16,DETAILS!D:D,"*Service Account",DETAILS!G:G,"Undecided")</f>
        <v>0</v>
      </c>
      <c r="AP16" s="45">
        <f t="shared" si="0"/>
        <v>0</v>
      </c>
    </row>
    <row r="17" spans="2:42" x14ac:dyDescent="0.35">
      <c r="B17" s="50">
        <f>COUNTIFS(DETAILS!A:A,I17,DETAILS!D:D,"Ingress from Privileged Account",DETAILS!H:H,"")</f>
        <v>0</v>
      </c>
      <c r="C17" s="50">
        <f>COUNTIFS(DETAILS!A:A,I17,DETAILS!D:D,"Brute Force*",DETAILS!H:H,"")</f>
        <v>0</v>
      </c>
      <c r="D17" s="50">
        <f>COUNTIFS(DETAILS!A:A,I17,DETAILS!D:D,$AA$2,DETAILS!H:H,"")</f>
        <v>0</v>
      </c>
      <c r="E17" s="50">
        <f>COUNTIFS(DETAILS!A:A,I17,DETAILS!D:D,"Lateral Movement*",DETAILS!H:H,"")</f>
        <v>0</v>
      </c>
      <c r="F17" s="51"/>
      <c r="G17" s="51">
        <f>COUNTIFS(DETAILS!A:A,I17,DETAILS!G:G,"Undecided",DETAILS!D:D,"Account Enabled")+COUNTIFS(DETAILS!A:A,I17,DETAILS!G:G,"Undecided",DETAILS!D:D,"LDAP Admin Added")+COUNTIFS(DETAILS!A:A,I17,DETAILS!G:G,"Undecided",DETAILS!D:D,"Account Password Reset")</f>
        <v>0</v>
      </c>
      <c r="H17" s="52">
        <f>COUNTIFS(DETAILS!A:A,I17,DETAILS!G:G,"Undecided",DETAILS!D:D,"Virus Alert")</f>
        <v>0</v>
      </c>
      <c r="I17" s="53">
        <v>45432</v>
      </c>
      <c r="J17" s="54">
        <f>COUNTIFS(DETAILS!F:F,I17,DETAILS!G:G,"Undecided")</f>
        <v>0</v>
      </c>
      <c r="K17" s="54">
        <f>COUNTIFS(DETAILS!F:F,I17,DETAILS!G:G,"Benign")</f>
        <v>0</v>
      </c>
      <c r="L17" s="54">
        <f>COUNTIFS(DETAILS!F:F,I17,DETAILS!G:G,"Malicious")</f>
        <v>0</v>
      </c>
      <c r="M17" s="54">
        <f>COUNTIFS(DETAILS!F:F,I17,DETAILS!G:G,"Not Applicable")</f>
        <v>0</v>
      </c>
      <c r="N17" s="45"/>
      <c r="O17" s="82">
        <f>COUNTIFS(DETAILS!F:F,I17,DETAILS!D:D,$O$1,DETAILS!G:G,"&lt;&gt;Undecided")</f>
        <v>0</v>
      </c>
      <c r="P17" s="131">
        <f>COUNTIFS(DETAILS!F:F,I17,DETAILS!D:D,$O$1,DETAILS!G:G,"Undecided")</f>
        <v>0</v>
      </c>
      <c r="Q17" s="205">
        <f>COUNTIFS(DETAILS!F:F,I17,DETAILS!D:D,$Q$1,DETAILS!G:G,"&lt;&gt;Undecided")</f>
        <v>0</v>
      </c>
      <c r="R17" s="132">
        <f>COUNTIFS(DETAILS!F:F,I17,DETAILS!D:D,$Q$1,DETAILS!G:G,"Undecided")</f>
        <v>0</v>
      </c>
      <c r="S17" s="82">
        <f>COUNTIFS(DETAILS!F:F,I17,DETAILS!D:D,$S$1,DETAILS!G:G,"&lt;&gt;Undecided")</f>
        <v>0</v>
      </c>
      <c r="T17" s="131">
        <f>COUNTIFS(DETAILS!F:F,I17,DETAILS!D:D,$S$1,DETAILS!G:G,"Undecided")</f>
        <v>0</v>
      </c>
      <c r="U17" s="82">
        <f>COUNTIFS(DETAILS!F:F,I17,DETAILS!D:D,"Brute Force*",DETAILS!G:G,"&lt;&gt;Undecided")</f>
        <v>0</v>
      </c>
      <c r="V17" s="131">
        <f>COUNTIFS(DETAILS!F:F,I17,DETAILS!D:D,"Brute Force*",DETAILS!G:G,"Undecided")</f>
        <v>0</v>
      </c>
      <c r="W17" s="83">
        <f>COUNTIFS(DETAILS!F:F,I17,DETAILS!D:D,$W$1,DETAILS!G:G,"&lt;&gt;Undecided")</f>
        <v>0</v>
      </c>
      <c r="X17" s="132">
        <f>COUNTIFS(DETAILS!F:F,I17,DETAILS!D:D,$W$1,DETAILS!G:G,"Undecided")</f>
        <v>0</v>
      </c>
      <c r="Y17" s="82">
        <f>COUNTIFS(DETAILS!F:F,I17,DETAILS!D:D,$Y$1,DETAILS!G:G,"&lt;&gt;Undecided")</f>
        <v>0</v>
      </c>
      <c r="Z17" s="131">
        <f>COUNTIFS(DETAILS!F:F,I17,DETAILS!D:D,$Y$1,DETAILS!G:G,"Undecided")</f>
        <v>0</v>
      </c>
      <c r="AA17" s="82">
        <f>COUNTIFS(DETAILS!F:F,I17,DETAILS!D:D,$AA$1,DETAILS!G:G,"&lt;&gt;Undecided")</f>
        <v>0</v>
      </c>
      <c r="AB17" s="131">
        <f>COUNTIFS(DETAILS!F:F,I17,DETAILS!D:D,$AA$1,DETAILS!G:G,"Undecided")</f>
        <v>0</v>
      </c>
      <c r="AC17" s="83">
        <f>COUNTIFS(DETAILS!F:F,I17,DETAILS!D:D,$AC$1,DETAILS!G:G,"&lt;&gt;Undecided")</f>
        <v>0</v>
      </c>
      <c r="AD17" s="132">
        <f>COUNTIFS(DETAILS!F:F,I17,DETAILS!D:D,$AC$1,DETAILS!G:G,"Undecided")</f>
        <v>0</v>
      </c>
      <c r="AE17" s="171">
        <f>COUNTIFS(DETAILS!F:F,I17,DETAILS!D:D,$AE$1,DETAILS!G:G,"&lt;&gt;Undecided")</f>
        <v>0</v>
      </c>
      <c r="AF17" s="131">
        <f>COUNTIFS(DETAILS!F:F,I17,DETAILS!D:D,$AE$1,DETAILS!G:G,"Undecided")</f>
        <v>0</v>
      </c>
      <c r="AG17" s="205">
        <f>COUNTIFS(DETAILS!F:F,I17,DETAILS!D:D,"*Linux*",DETAILS!G:G,"&lt;&gt;Undecided")</f>
        <v>0</v>
      </c>
      <c r="AH17" s="132">
        <f>COUNTIFS(DETAILS!F:F,I17,DETAILS!D:D,"*Linux*",DETAILS!G:G,"Undecided")</f>
        <v>0</v>
      </c>
      <c r="AI17" s="82">
        <f>COUNTIFS(DETAILS!F:F,I17,DETAILS!D:D,"*Local Credentials",DETAILS!G:G,"&lt;&gt;Undecided")</f>
        <v>0</v>
      </c>
      <c r="AJ17" s="133">
        <f>COUNTIFS(DETAILS!F:F,I17,DETAILS!D:D,"*Local Credentials",DETAILS!G:G,"Undecided")</f>
        <v>0</v>
      </c>
      <c r="AK17" s="170">
        <f>COUNTIFS(DETAILS!F:F,I17,DETAILS!D:D,"*Administrator Impersonation",DETAILS!G:G,"&lt;&gt;Undecided")</f>
        <v>0</v>
      </c>
      <c r="AL17" s="168">
        <f>COUNTIFS(DETAILS!F:F,I17,DETAILS!D:D,"*Administrator Impersonation",DETAILS!G:G,"Undecided")</f>
        <v>0</v>
      </c>
      <c r="AM17" s="102">
        <f>COUNTIFS(DETAILS!F:F,I17,DETAILS!D:D,"*Service Account",DETAILS!G:G,"&lt;&gt;Undecided")</f>
        <v>0</v>
      </c>
      <c r="AN17" s="133">
        <f>COUNTIFS(DETAILS!F:F,I17,DETAILS!D:D,"*Service Account",DETAILS!G:G,"Undecided")</f>
        <v>0</v>
      </c>
      <c r="AP17" s="45">
        <f t="shared" si="0"/>
        <v>0</v>
      </c>
    </row>
    <row r="18" spans="2:42" x14ac:dyDescent="0.35">
      <c r="B18" s="50">
        <f>COUNTIFS(DETAILS!A:A,I18,DETAILS!D:D,"Ingress from Privileged Account",DETAILS!H:H,"")</f>
        <v>0</v>
      </c>
      <c r="C18" s="50">
        <f>COUNTIFS(DETAILS!A:A,I18,DETAILS!D:D,"Brute Force*",DETAILS!H:H,"")</f>
        <v>0</v>
      </c>
      <c r="D18" s="50">
        <f>COUNTIFS(DETAILS!A:A,I18,DETAILS!D:D,$AA$2,DETAILS!H:H,"")</f>
        <v>0</v>
      </c>
      <c r="E18" s="50">
        <f>COUNTIFS(DETAILS!A:A,I18,DETAILS!D:D,"Lateral Movement*",DETAILS!H:H,"")</f>
        <v>0</v>
      </c>
      <c r="F18" s="51"/>
      <c r="G18" s="51">
        <f>COUNTIFS(DETAILS!A:A,I18,DETAILS!G:G,"Undecided",DETAILS!D:D,"Account Enabled")+COUNTIFS(DETAILS!A:A,I18,DETAILS!G:G,"Undecided",DETAILS!D:D,"LDAP Admin Added")+COUNTIFS(DETAILS!A:A,I18,DETAILS!G:G,"Undecided",DETAILS!D:D,"Account Password Reset")</f>
        <v>0</v>
      </c>
      <c r="H18" s="52">
        <f>COUNTIFS(DETAILS!A:A,I18,DETAILS!G:G,"Undecided",DETAILS!D:D,"Virus Alert")</f>
        <v>0</v>
      </c>
      <c r="I18" s="53">
        <v>45433</v>
      </c>
      <c r="J18" s="54">
        <f>COUNTIFS(DETAILS!F:F,I18,DETAILS!G:G,"Undecided")</f>
        <v>0</v>
      </c>
      <c r="K18" s="54">
        <f>COUNTIFS(DETAILS!F:F,I18,DETAILS!G:G,"Benign")</f>
        <v>0</v>
      </c>
      <c r="L18" s="54">
        <f>COUNTIFS(DETAILS!F:F,I18,DETAILS!G:G,"Malicious")</f>
        <v>0</v>
      </c>
      <c r="M18" s="54">
        <f>COUNTIFS(DETAILS!F:F,I18,DETAILS!G:G,"Not Applicable")</f>
        <v>0</v>
      </c>
      <c r="N18" s="45"/>
      <c r="O18" s="82">
        <f>COUNTIFS(DETAILS!F:F,I18,DETAILS!D:D,$O$1,DETAILS!G:G,"&lt;&gt;Undecided")</f>
        <v>0</v>
      </c>
      <c r="P18" s="131">
        <f>COUNTIFS(DETAILS!F:F,I18,DETAILS!D:D,$O$1,DETAILS!G:G,"Undecided")</f>
        <v>0</v>
      </c>
      <c r="Q18" s="205">
        <f>COUNTIFS(DETAILS!F:F,I18,DETAILS!D:D,$Q$1,DETAILS!G:G,"&lt;&gt;Undecided")</f>
        <v>0</v>
      </c>
      <c r="R18" s="132">
        <f>COUNTIFS(DETAILS!F:F,I18,DETAILS!D:D,$Q$1,DETAILS!G:G,"Undecided")</f>
        <v>0</v>
      </c>
      <c r="S18" s="82">
        <f>COUNTIFS(DETAILS!F:F,I18,DETAILS!D:D,$S$1,DETAILS!G:G,"&lt;&gt;Undecided")</f>
        <v>0</v>
      </c>
      <c r="T18" s="131">
        <f>COUNTIFS(DETAILS!F:F,I18,DETAILS!D:D,$S$1,DETAILS!G:G,"Undecided")</f>
        <v>0</v>
      </c>
      <c r="U18" s="82">
        <f>COUNTIFS(DETAILS!F:F,I18,DETAILS!D:D,"Brute Force*",DETAILS!G:G,"&lt;&gt;Undecided")</f>
        <v>0</v>
      </c>
      <c r="V18" s="131">
        <f>COUNTIFS(DETAILS!F:F,I18,DETAILS!D:D,"Brute Force*",DETAILS!G:G,"Undecided")</f>
        <v>0</v>
      </c>
      <c r="W18" s="83">
        <f>COUNTIFS(DETAILS!F:F,I18,DETAILS!D:D,$W$1,DETAILS!G:G,"&lt;&gt;Undecided")</f>
        <v>0</v>
      </c>
      <c r="X18" s="132">
        <f>COUNTIFS(DETAILS!F:F,I18,DETAILS!D:D,$W$1,DETAILS!G:G,"Undecided")</f>
        <v>0</v>
      </c>
      <c r="Y18" s="82">
        <f>COUNTIFS(DETAILS!F:F,I18,DETAILS!D:D,$Y$1,DETAILS!G:G,"&lt;&gt;Undecided")</f>
        <v>0</v>
      </c>
      <c r="Z18" s="131">
        <f>COUNTIFS(DETAILS!F:F,I18,DETAILS!D:D,$Y$1,DETAILS!G:G,"Undecided")</f>
        <v>0</v>
      </c>
      <c r="AA18" s="82">
        <f>COUNTIFS(DETAILS!F:F,I18,DETAILS!D:D,$AA$1,DETAILS!G:G,"&lt;&gt;Undecided")</f>
        <v>0</v>
      </c>
      <c r="AB18" s="131">
        <f>COUNTIFS(DETAILS!F:F,I18,DETAILS!D:D,$AA$1,DETAILS!G:G,"Undecided")</f>
        <v>0</v>
      </c>
      <c r="AC18" s="83">
        <f>COUNTIFS(DETAILS!F:F,I18,DETAILS!D:D,$AC$1,DETAILS!G:G,"&lt;&gt;Undecided")</f>
        <v>0</v>
      </c>
      <c r="AD18" s="132">
        <f>COUNTIFS(DETAILS!F:F,I18,DETAILS!D:D,$AC$1,DETAILS!G:G,"Undecided")</f>
        <v>0</v>
      </c>
      <c r="AE18" s="171">
        <f>COUNTIFS(DETAILS!F:F,I18,DETAILS!D:D,$AE$1,DETAILS!G:G,"&lt;&gt;Undecided")</f>
        <v>0</v>
      </c>
      <c r="AF18" s="131">
        <f>COUNTIFS(DETAILS!F:F,I18,DETAILS!D:D,$AE$1,DETAILS!G:G,"Undecided")</f>
        <v>0</v>
      </c>
      <c r="AG18" s="205">
        <f>COUNTIFS(DETAILS!F:F,I18,DETAILS!D:D,"*Linux*",DETAILS!G:G,"&lt;&gt;Undecided")</f>
        <v>0</v>
      </c>
      <c r="AH18" s="132">
        <f>COUNTIFS(DETAILS!F:F,I18,DETAILS!D:D,"*Linux*",DETAILS!G:G,"Undecided")</f>
        <v>0</v>
      </c>
      <c r="AI18" s="82">
        <f>COUNTIFS(DETAILS!F:F,I18,DETAILS!D:D,"*Local Credentials",DETAILS!G:G,"&lt;&gt;Undecided")</f>
        <v>0</v>
      </c>
      <c r="AJ18" s="133">
        <f>COUNTIFS(DETAILS!F:F,I18,DETAILS!D:D,"*Local Credentials",DETAILS!G:G,"Undecided")</f>
        <v>0</v>
      </c>
      <c r="AK18" s="170">
        <f>COUNTIFS(DETAILS!F:F,I18,DETAILS!D:D,"*Administrator Impersonation",DETAILS!G:G,"&lt;&gt;Undecided")</f>
        <v>0</v>
      </c>
      <c r="AL18" s="168">
        <f>COUNTIFS(DETAILS!F:F,I18,DETAILS!D:D,"*Administrator Impersonation",DETAILS!G:G,"Undecided")</f>
        <v>0</v>
      </c>
      <c r="AM18" s="102">
        <f>COUNTIFS(DETAILS!F:F,I18,DETAILS!D:D,"*Service Account",DETAILS!G:G,"&lt;&gt;Undecided")</f>
        <v>0</v>
      </c>
      <c r="AN18" s="133">
        <f>COUNTIFS(DETAILS!F:F,I18,DETAILS!D:D,"*Service Account",DETAILS!G:G,"Undecided")</f>
        <v>0</v>
      </c>
      <c r="AP18" s="45">
        <f t="shared" si="0"/>
        <v>0</v>
      </c>
    </row>
    <row r="19" spans="2:42" x14ac:dyDescent="0.35">
      <c r="B19" s="50">
        <f>COUNTIFS(DETAILS!A:A,I19,DETAILS!D:D,"Ingress from Privileged Account",DETAILS!H:H,"")</f>
        <v>0</v>
      </c>
      <c r="C19" s="50">
        <f>COUNTIFS(DETAILS!A:A,I19,DETAILS!D:D,"Brute Force*",DETAILS!H:H,"")</f>
        <v>0</v>
      </c>
      <c r="D19" s="50">
        <f>COUNTIFS(DETAILS!A:A,I19,DETAILS!D:D,$AA$2,DETAILS!H:H,"")</f>
        <v>0</v>
      </c>
      <c r="E19" s="50">
        <f>COUNTIFS(DETAILS!A:A,I19,DETAILS!D:D,"Lateral Movement*",DETAILS!H:H,"")</f>
        <v>0</v>
      </c>
      <c r="F19" s="51"/>
      <c r="G19" s="51">
        <f>COUNTIFS(DETAILS!A:A,I19,DETAILS!G:G,"Undecided",DETAILS!D:D,"Account Enabled")+COUNTIFS(DETAILS!A:A,I19,DETAILS!G:G,"Undecided",DETAILS!D:D,"LDAP Admin Added")+COUNTIFS(DETAILS!A:A,I19,DETAILS!G:G,"Undecided",DETAILS!D:D,"Account Password Reset")</f>
        <v>0</v>
      </c>
      <c r="H19" s="52">
        <f>COUNTIFS(DETAILS!A:A,I19,DETAILS!G:G,"Undecided",DETAILS!D:D,"Virus Alert")</f>
        <v>0</v>
      </c>
      <c r="I19" s="53">
        <v>45434</v>
      </c>
      <c r="J19" s="54">
        <f>COUNTIFS(DETAILS!F:F,I19,DETAILS!G:G,"Undecided")</f>
        <v>0</v>
      </c>
      <c r="K19" s="54">
        <f>COUNTIFS(DETAILS!F:F,I19,DETAILS!G:G,"Benign")</f>
        <v>0</v>
      </c>
      <c r="L19" s="54">
        <f>COUNTIFS(DETAILS!F:F,I19,DETAILS!G:G,"Malicious")</f>
        <v>0</v>
      </c>
      <c r="M19" s="54">
        <f>COUNTIFS(DETAILS!F:F,I19,DETAILS!G:G,"Not Applicable")</f>
        <v>0</v>
      </c>
      <c r="N19" s="45"/>
      <c r="O19" s="82">
        <f>COUNTIFS(DETAILS!F:F,I19,DETAILS!D:D,$O$1,DETAILS!G:G,"&lt;&gt;Undecided")</f>
        <v>0</v>
      </c>
      <c r="P19" s="131">
        <f>COUNTIFS(DETAILS!F:F,I19,DETAILS!D:D,$O$1,DETAILS!G:G,"Undecided")</f>
        <v>0</v>
      </c>
      <c r="Q19" s="205">
        <f>COUNTIFS(DETAILS!F:F,I19,DETAILS!D:D,$Q$1,DETAILS!G:G,"&lt;&gt;Undecided")</f>
        <v>0</v>
      </c>
      <c r="R19" s="132">
        <f>COUNTIFS(DETAILS!F:F,I19,DETAILS!D:D,$Q$1,DETAILS!G:G,"Undecided")</f>
        <v>0</v>
      </c>
      <c r="S19" s="82">
        <f>COUNTIFS(DETAILS!F:F,I19,DETAILS!D:D,$S$1,DETAILS!G:G,"&lt;&gt;Undecided")</f>
        <v>0</v>
      </c>
      <c r="T19" s="131">
        <f>COUNTIFS(DETAILS!F:F,I19,DETAILS!D:D,$S$1,DETAILS!G:G,"Undecided")</f>
        <v>0</v>
      </c>
      <c r="U19" s="82">
        <f>COUNTIFS(DETAILS!F:F,I19,DETAILS!D:D,"Brute Force*",DETAILS!G:G,"&lt;&gt;Undecided")</f>
        <v>0</v>
      </c>
      <c r="V19" s="131">
        <f>COUNTIFS(DETAILS!F:F,I19,DETAILS!D:D,"Brute Force*",DETAILS!G:G,"Undecided")</f>
        <v>0</v>
      </c>
      <c r="W19" s="83">
        <f>COUNTIFS(DETAILS!F:F,I19,DETAILS!D:D,$W$1,DETAILS!G:G,"&lt;&gt;Undecided")</f>
        <v>0</v>
      </c>
      <c r="X19" s="132">
        <f>COUNTIFS(DETAILS!F:F,I19,DETAILS!D:D,$W$1,DETAILS!G:G,"Undecided")</f>
        <v>0</v>
      </c>
      <c r="Y19" s="82">
        <f>COUNTIFS(DETAILS!F:F,I19,DETAILS!D:D,$Y$1,DETAILS!G:G,"&lt;&gt;Undecided")</f>
        <v>0</v>
      </c>
      <c r="Z19" s="131">
        <f>COUNTIFS(DETAILS!F:F,I19,DETAILS!D:D,$Y$1,DETAILS!G:G,"Undecided")</f>
        <v>0</v>
      </c>
      <c r="AA19" s="82">
        <f>COUNTIFS(DETAILS!F:F,I19,DETAILS!D:D,$AA$1,DETAILS!G:G,"&lt;&gt;Undecided")</f>
        <v>0</v>
      </c>
      <c r="AB19" s="131">
        <f>COUNTIFS(DETAILS!F:F,I19,DETAILS!D:D,$AA$1,DETAILS!G:G,"Undecided")</f>
        <v>0</v>
      </c>
      <c r="AC19" s="83">
        <f>COUNTIFS(DETAILS!F:F,I19,DETAILS!D:D,$AC$1,DETAILS!G:G,"&lt;&gt;Undecided")</f>
        <v>0</v>
      </c>
      <c r="AD19" s="132">
        <f>COUNTIFS(DETAILS!F:F,I19,DETAILS!D:D,$AC$1,DETAILS!G:G,"Undecided")</f>
        <v>0</v>
      </c>
      <c r="AE19" s="171">
        <f>COUNTIFS(DETAILS!F:F,I19,DETAILS!D:D,$AE$1,DETAILS!G:G,"&lt;&gt;Undecided")</f>
        <v>0</v>
      </c>
      <c r="AF19" s="131">
        <f>COUNTIFS(DETAILS!F:F,I19,DETAILS!D:D,$AE$1,DETAILS!G:G,"Undecided")</f>
        <v>0</v>
      </c>
      <c r="AG19" s="205">
        <f>COUNTIFS(DETAILS!F:F,I19,DETAILS!D:D,"*Linux*",DETAILS!G:G,"&lt;&gt;Undecided")</f>
        <v>0</v>
      </c>
      <c r="AH19" s="132">
        <f>COUNTIFS(DETAILS!F:F,I19,DETAILS!D:D,"*Linux*",DETAILS!G:G,"Undecided")</f>
        <v>0</v>
      </c>
      <c r="AI19" s="82">
        <f>COUNTIFS(DETAILS!F:F,I19,DETAILS!D:D,"*Local Credentials",DETAILS!G:G,"&lt;&gt;Undecided")</f>
        <v>0</v>
      </c>
      <c r="AJ19" s="133">
        <f>COUNTIFS(DETAILS!F:F,I19,DETAILS!D:D,"*Local Credentials",DETAILS!G:G,"Undecided")</f>
        <v>0</v>
      </c>
      <c r="AK19" s="170">
        <f>COUNTIFS(DETAILS!F:F,I19,DETAILS!D:D,"*Administrator Impersonation",DETAILS!G:G,"&lt;&gt;Undecided")</f>
        <v>0</v>
      </c>
      <c r="AL19" s="168">
        <f>COUNTIFS(DETAILS!F:F,I19,DETAILS!D:D,"*Administrator Impersonation",DETAILS!G:G,"Undecided")</f>
        <v>0</v>
      </c>
      <c r="AM19" s="102">
        <f>COUNTIFS(DETAILS!F:F,I19,DETAILS!D:D,"*Service Account",DETAILS!G:G,"&lt;&gt;Undecided")</f>
        <v>0</v>
      </c>
      <c r="AN19" s="133">
        <f>COUNTIFS(DETAILS!F:F,I19,DETAILS!D:D,"*Service Account",DETAILS!G:G,"Undecided")</f>
        <v>0</v>
      </c>
      <c r="AP19" s="45">
        <f t="shared" si="0"/>
        <v>0</v>
      </c>
    </row>
    <row r="20" spans="2:42" x14ac:dyDescent="0.35">
      <c r="B20" s="50">
        <f>COUNTIFS(DETAILS!A:A,I20,DETAILS!D:D,"Ingress from Privileged Account",DETAILS!H:H,"")</f>
        <v>0</v>
      </c>
      <c r="C20" s="50">
        <f>COUNTIFS(DETAILS!A:A,I20,DETAILS!D:D,"Brute Force*",DETAILS!H:H,"")</f>
        <v>0</v>
      </c>
      <c r="D20" s="50">
        <f>COUNTIFS(DETAILS!A:A,I20,DETAILS!D:D,$AA$2,DETAILS!H:H,"")</f>
        <v>0</v>
      </c>
      <c r="E20" s="50">
        <f>COUNTIFS(DETAILS!A:A,I20,DETAILS!D:D,"Lateral Movement*",DETAILS!H:H,"")</f>
        <v>0</v>
      </c>
      <c r="F20" s="51"/>
      <c r="G20" s="51">
        <f>COUNTIFS(DETAILS!A:A,I20,DETAILS!G:G,"Undecided",DETAILS!D:D,"Account Enabled")+COUNTIFS(DETAILS!A:A,I20,DETAILS!G:G,"Undecided",DETAILS!D:D,"LDAP Admin Added")+COUNTIFS(DETAILS!A:A,I20,DETAILS!G:G,"Undecided",DETAILS!D:D,"Account Password Reset")</f>
        <v>0</v>
      </c>
      <c r="H20" s="52">
        <f>COUNTIFS(DETAILS!A:A,I20,DETAILS!G:G,"Undecided",DETAILS!D:D,"Virus Alert")</f>
        <v>0</v>
      </c>
      <c r="I20" s="53">
        <v>45435</v>
      </c>
      <c r="J20" s="54">
        <f>COUNTIFS(DETAILS!F:F,I20,DETAILS!G:G,"Undecided")</f>
        <v>0</v>
      </c>
      <c r="K20" s="54">
        <f>COUNTIFS(DETAILS!F:F,I20,DETAILS!G:G,"Benign")</f>
        <v>0</v>
      </c>
      <c r="L20" s="54">
        <f>COUNTIFS(DETAILS!F:F,I20,DETAILS!G:G,"Malicious")</f>
        <v>0</v>
      </c>
      <c r="M20" s="54">
        <f>COUNTIFS(DETAILS!F:F,I20,DETAILS!G:G,"Not Applicable")</f>
        <v>0</v>
      </c>
      <c r="N20" s="45"/>
      <c r="O20" s="82">
        <f>COUNTIFS(DETAILS!F:F,I20,DETAILS!D:D,$O$1,DETAILS!G:G,"&lt;&gt;Undecided")</f>
        <v>0</v>
      </c>
      <c r="P20" s="131">
        <f>COUNTIFS(DETAILS!F:F,I20,DETAILS!D:D,$O$1,DETAILS!G:G,"Undecided")</f>
        <v>0</v>
      </c>
      <c r="Q20" s="205">
        <f>COUNTIFS(DETAILS!F:F,I20,DETAILS!D:D,$Q$1,DETAILS!G:G,"&lt;&gt;Undecided")</f>
        <v>0</v>
      </c>
      <c r="R20" s="132">
        <f>COUNTIFS(DETAILS!F:F,I20,DETAILS!D:D,$Q$1,DETAILS!G:G,"Undecided")</f>
        <v>0</v>
      </c>
      <c r="S20" s="82">
        <f>COUNTIFS(DETAILS!F:F,I20,DETAILS!D:D,$S$1,DETAILS!G:G,"&lt;&gt;Undecided")</f>
        <v>0</v>
      </c>
      <c r="T20" s="131">
        <f>COUNTIFS(DETAILS!F:F,I20,DETAILS!D:D,$S$1,DETAILS!G:G,"Undecided")</f>
        <v>0</v>
      </c>
      <c r="U20" s="82">
        <f>COUNTIFS(DETAILS!F:F,I20,DETAILS!D:D,"Brute Force*",DETAILS!G:G,"&lt;&gt;Undecided")</f>
        <v>0</v>
      </c>
      <c r="V20" s="131">
        <f>COUNTIFS(DETAILS!F:F,I20,DETAILS!D:D,"Brute Force*",DETAILS!G:G,"Undecided")</f>
        <v>0</v>
      </c>
      <c r="W20" s="83">
        <f>COUNTIFS(DETAILS!F:F,I20,DETAILS!D:D,$W$1,DETAILS!G:G,"&lt;&gt;Undecided")</f>
        <v>0</v>
      </c>
      <c r="X20" s="132">
        <f>COUNTIFS(DETAILS!F:F,I20,DETAILS!D:D,$W$1,DETAILS!G:G,"Undecided")</f>
        <v>0</v>
      </c>
      <c r="Y20" s="82">
        <f>COUNTIFS(DETAILS!F:F,I20,DETAILS!D:D,$Y$1,DETAILS!G:G,"&lt;&gt;Undecided")</f>
        <v>0</v>
      </c>
      <c r="Z20" s="131">
        <f>COUNTIFS(DETAILS!F:F,I20,DETAILS!D:D,$Y$1,DETAILS!G:G,"Undecided")</f>
        <v>0</v>
      </c>
      <c r="AA20" s="82">
        <f>COUNTIFS(DETAILS!F:F,I20,DETAILS!D:D,$AA$1,DETAILS!G:G,"&lt;&gt;Undecided")</f>
        <v>0</v>
      </c>
      <c r="AB20" s="131">
        <f>COUNTIFS(DETAILS!F:F,I20,DETAILS!D:D,$AA$1,DETAILS!G:G,"Undecided")</f>
        <v>0</v>
      </c>
      <c r="AC20" s="83">
        <f>COUNTIFS(DETAILS!F:F,I20,DETAILS!D:D,$AC$1,DETAILS!G:G,"&lt;&gt;Undecided")</f>
        <v>0</v>
      </c>
      <c r="AD20" s="132">
        <f>COUNTIFS(DETAILS!F:F,I20,DETAILS!D:D,$AC$1,DETAILS!G:G,"Undecided")</f>
        <v>0</v>
      </c>
      <c r="AE20" s="171">
        <f>COUNTIFS(DETAILS!F:F,I20,DETAILS!D:D,$AE$1,DETAILS!G:G,"&lt;&gt;Undecided")</f>
        <v>0</v>
      </c>
      <c r="AF20" s="131">
        <f>COUNTIFS(DETAILS!F:F,I20,DETAILS!D:D,$AE$1,DETAILS!G:G,"Undecided")</f>
        <v>0</v>
      </c>
      <c r="AG20" s="205">
        <f>COUNTIFS(DETAILS!F:F,I20,DETAILS!D:D,"*Linux*",DETAILS!G:G,"&lt;&gt;Undecided")</f>
        <v>0</v>
      </c>
      <c r="AH20" s="132">
        <f>COUNTIFS(DETAILS!F:F,I20,DETAILS!D:D,"*Linux*",DETAILS!G:G,"Undecided")</f>
        <v>0</v>
      </c>
      <c r="AI20" s="82">
        <f>COUNTIFS(DETAILS!F:F,I20,DETAILS!D:D,"*Local Credentials",DETAILS!G:G,"&lt;&gt;Undecided")</f>
        <v>0</v>
      </c>
      <c r="AJ20" s="133">
        <f>COUNTIFS(DETAILS!F:F,I20,DETAILS!D:D,"*Local Credentials",DETAILS!G:G,"Undecided")</f>
        <v>0</v>
      </c>
      <c r="AK20" s="170">
        <f>COUNTIFS(DETAILS!F:F,I20,DETAILS!D:D,"*Administrator Impersonation",DETAILS!G:G,"&lt;&gt;Undecided")</f>
        <v>0</v>
      </c>
      <c r="AL20" s="168">
        <f>COUNTIFS(DETAILS!F:F,I20,DETAILS!D:D,"*Administrator Impersonation",DETAILS!G:G,"Undecided")</f>
        <v>0</v>
      </c>
      <c r="AM20" s="102">
        <f>COUNTIFS(DETAILS!F:F,I20,DETAILS!D:D,"*Service Account",DETAILS!G:G,"&lt;&gt;Undecided")</f>
        <v>0</v>
      </c>
      <c r="AN20" s="133">
        <f>COUNTIFS(DETAILS!F:F,I20,DETAILS!D:D,"*Service Account",DETAILS!G:G,"Undecided")</f>
        <v>0</v>
      </c>
      <c r="AP20" s="45">
        <f t="shared" si="0"/>
        <v>0</v>
      </c>
    </row>
    <row r="21" spans="2:42" x14ac:dyDescent="0.35">
      <c r="B21" s="50">
        <f>COUNTIFS(DETAILS!A:A,I21,DETAILS!D:D,"Ingress from Privileged Account",DETAILS!H:H,"")</f>
        <v>0</v>
      </c>
      <c r="C21" s="50">
        <f>COUNTIFS(DETAILS!A:A,I21,DETAILS!D:D,"Brute Force*",DETAILS!H:H,"")</f>
        <v>0</v>
      </c>
      <c r="D21" s="50">
        <f>COUNTIFS(DETAILS!A:A,I21,DETAILS!D:D,$AA$2,DETAILS!H:H,"")</f>
        <v>0</v>
      </c>
      <c r="E21" s="50">
        <f>COUNTIFS(DETAILS!A:A,I21,DETAILS!D:D,"Lateral Movement*",DETAILS!H:H,"")</f>
        <v>0</v>
      </c>
      <c r="F21" s="51"/>
      <c r="G21" s="51">
        <f>COUNTIFS(DETAILS!A:A,I21,DETAILS!G:G,"Undecided",DETAILS!D:D,"Account Enabled")+COUNTIFS(DETAILS!A:A,I21,DETAILS!G:G,"Undecided",DETAILS!D:D,"LDAP Admin Added")+COUNTIFS(DETAILS!A:A,I21,DETAILS!G:G,"Undecided",DETAILS!D:D,"Account Password Reset")</f>
        <v>0</v>
      </c>
      <c r="H21" s="52">
        <f>COUNTIFS(DETAILS!A:A,I21,DETAILS!G:G,"Undecided",DETAILS!D:D,"Virus Alert")</f>
        <v>0</v>
      </c>
      <c r="I21" s="53">
        <v>45436</v>
      </c>
      <c r="J21" s="54">
        <f>COUNTIFS(DETAILS!F:F,I21,DETAILS!G:G,"Undecided")</f>
        <v>0</v>
      </c>
      <c r="K21" s="54">
        <f>COUNTIFS(DETAILS!F:F,I21,DETAILS!G:G,"Benign")</f>
        <v>0</v>
      </c>
      <c r="L21" s="54">
        <f>COUNTIFS(DETAILS!F:F,I21,DETAILS!G:G,"Malicious")</f>
        <v>0</v>
      </c>
      <c r="M21" s="54">
        <f>COUNTIFS(DETAILS!F:F,I21,DETAILS!G:G,"Not Applicable")</f>
        <v>0</v>
      </c>
      <c r="N21" s="45"/>
      <c r="O21" s="82">
        <f>COUNTIFS(DETAILS!F:F,I21,DETAILS!D:D,$O$1,DETAILS!G:G,"&lt;&gt;Undecided")</f>
        <v>0</v>
      </c>
      <c r="P21" s="131">
        <f>COUNTIFS(DETAILS!F:F,I21,DETAILS!D:D,$O$1,DETAILS!G:G,"Undecided")</f>
        <v>0</v>
      </c>
      <c r="Q21" s="205">
        <f>COUNTIFS(DETAILS!F:F,I21,DETAILS!D:D,$Q$1,DETAILS!G:G,"&lt;&gt;Undecided")</f>
        <v>0</v>
      </c>
      <c r="R21" s="132">
        <f>COUNTIFS(DETAILS!F:F,I21,DETAILS!D:D,$Q$1,DETAILS!G:G,"Undecided")</f>
        <v>0</v>
      </c>
      <c r="S21" s="82">
        <f>COUNTIFS(DETAILS!F:F,I21,DETAILS!D:D,$S$1,DETAILS!G:G,"&lt;&gt;Undecided")</f>
        <v>0</v>
      </c>
      <c r="T21" s="131">
        <f>COUNTIFS(DETAILS!F:F,I21,DETAILS!D:D,$S$1,DETAILS!G:G,"Undecided")</f>
        <v>0</v>
      </c>
      <c r="U21" s="82">
        <f>COUNTIFS(DETAILS!F:F,I21,DETAILS!D:D,"Brute Force*",DETAILS!G:G,"&lt;&gt;Undecided")</f>
        <v>0</v>
      </c>
      <c r="V21" s="131">
        <f>COUNTIFS(DETAILS!F:F,I21,DETAILS!D:D,"Brute Force*",DETAILS!G:G,"Undecided")</f>
        <v>0</v>
      </c>
      <c r="W21" s="83">
        <f>COUNTIFS(DETAILS!F:F,I21,DETAILS!D:D,$W$1,DETAILS!G:G,"&lt;&gt;Undecided")</f>
        <v>0</v>
      </c>
      <c r="X21" s="132">
        <f>COUNTIFS(DETAILS!F:F,I21,DETAILS!D:D,$W$1,DETAILS!G:G,"Undecided")</f>
        <v>0</v>
      </c>
      <c r="Y21" s="82">
        <f>COUNTIFS(DETAILS!F:F,I21,DETAILS!D:D,$Y$1,DETAILS!G:G,"&lt;&gt;Undecided")</f>
        <v>0</v>
      </c>
      <c r="Z21" s="131">
        <f>COUNTIFS(DETAILS!F:F,I21,DETAILS!D:D,$Y$1,DETAILS!G:G,"Undecided")</f>
        <v>0</v>
      </c>
      <c r="AA21" s="82">
        <f>COUNTIFS(DETAILS!F:F,I21,DETAILS!D:D,$AA$1,DETAILS!G:G,"&lt;&gt;Undecided")</f>
        <v>0</v>
      </c>
      <c r="AB21" s="131">
        <f>COUNTIFS(DETAILS!F:F,I21,DETAILS!D:D,$AA$1,DETAILS!G:G,"Undecided")</f>
        <v>0</v>
      </c>
      <c r="AC21" s="83">
        <f>COUNTIFS(DETAILS!F:F,I21,DETAILS!D:D,$AC$1,DETAILS!G:G,"&lt;&gt;Undecided")</f>
        <v>0</v>
      </c>
      <c r="AD21" s="132">
        <f>COUNTIFS(DETAILS!F:F,I21,DETAILS!D:D,$AC$1,DETAILS!G:G,"Undecided")</f>
        <v>0</v>
      </c>
      <c r="AE21" s="171">
        <f>COUNTIFS(DETAILS!F:F,I21,DETAILS!D:D,$AE$1,DETAILS!G:G,"&lt;&gt;Undecided")</f>
        <v>0</v>
      </c>
      <c r="AF21" s="131">
        <f>COUNTIFS(DETAILS!F:F,I21,DETAILS!D:D,$AE$1,DETAILS!G:G,"Undecided")</f>
        <v>0</v>
      </c>
      <c r="AG21" s="205">
        <f>COUNTIFS(DETAILS!F:F,I21,DETAILS!D:D,"*Linux*",DETAILS!G:G,"&lt;&gt;Undecided")</f>
        <v>0</v>
      </c>
      <c r="AH21" s="132">
        <f>COUNTIFS(DETAILS!F:F,I21,DETAILS!D:D,"*Linux*",DETAILS!G:G,"Undecided")</f>
        <v>0</v>
      </c>
      <c r="AI21" s="82">
        <f>COUNTIFS(DETAILS!F:F,I21,DETAILS!D:D,"*Local Credentials",DETAILS!G:G,"&lt;&gt;Undecided")</f>
        <v>0</v>
      </c>
      <c r="AJ21" s="133">
        <f>COUNTIFS(DETAILS!F:F,I21,DETAILS!D:D,"*Local Credentials",DETAILS!G:G,"Undecided")</f>
        <v>0</v>
      </c>
      <c r="AK21" s="170">
        <f>COUNTIFS(DETAILS!F:F,I21,DETAILS!D:D,"*Administrator Impersonation",DETAILS!G:G,"&lt;&gt;Undecided")</f>
        <v>0</v>
      </c>
      <c r="AL21" s="168">
        <f>COUNTIFS(DETAILS!F:F,I21,DETAILS!D:D,"*Administrator Impersonation",DETAILS!G:G,"Undecided")</f>
        <v>0</v>
      </c>
      <c r="AM21" s="102">
        <f>COUNTIFS(DETAILS!F:F,I21,DETAILS!D:D,"*Service Account",DETAILS!G:G,"&lt;&gt;Undecided")</f>
        <v>0</v>
      </c>
      <c r="AN21" s="133">
        <f>COUNTIFS(DETAILS!F:F,I21,DETAILS!D:D,"*Service Account",DETAILS!G:G,"Undecided")</f>
        <v>0</v>
      </c>
      <c r="AP21" s="45">
        <f t="shared" si="0"/>
        <v>0</v>
      </c>
    </row>
    <row r="22" spans="2:42" x14ac:dyDescent="0.35">
      <c r="B22" s="50">
        <f>COUNTIFS(DETAILS!A:A,I22,DETAILS!D:D,"Ingress from Privileged Account",DETAILS!H:H,"")</f>
        <v>0</v>
      </c>
      <c r="C22" s="50">
        <f>COUNTIFS(DETAILS!A:A,I22,DETAILS!D:D,"Brute Force*",DETAILS!H:H,"")</f>
        <v>0</v>
      </c>
      <c r="D22" s="50">
        <f>COUNTIFS(DETAILS!A:A,I22,DETAILS!D:D,$AA$2,DETAILS!H:H,"")</f>
        <v>0</v>
      </c>
      <c r="E22" s="50">
        <f>COUNTIFS(DETAILS!A:A,I22,DETAILS!D:D,"Lateral Movement*",DETAILS!H:H,"")</f>
        <v>0</v>
      </c>
      <c r="F22" s="51"/>
      <c r="G22" s="51">
        <f>COUNTIFS(DETAILS!A:A,I22,DETAILS!G:G,"Undecided",DETAILS!D:D,"Account Enabled")+COUNTIFS(DETAILS!A:A,I22,DETAILS!G:G,"Undecided",DETAILS!D:D,"LDAP Admin Added")+COUNTIFS(DETAILS!A:A,I22,DETAILS!G:G,"Undecided",DETAILS!D:D,"Account Password Reset")</f>
        <v>0</v>
      </c>
      <c r="H22" s="52">
        <f>COUNTIFS(DETAILS!A:A,I22,DETAILS!G:G,"Undecided",DETAILS!D:D,"Virus Alert")</f>
        <v>0</v>
      </c>
      <c r="I22" s="53">
        <v>45437</v>
      </c>
      <c r="J22" s="54">
        <f>COUNTIFS(DETAILS!F:F,I22,DETAILS!G:G,"Undecided")</f>
        <v>0</v>
      </c>
      <c r="K22" s="54">
        <f>COUNTIFS(DETAILS!F:F,I22,DETAILS!G:G,"Benign")</f>
        <v>0</v>
      </c>
      <c r="L22" s="54">
        <f>COUNTIFS(DETAILS!F:F,I22,DETAILS!G:G,"Malicious")</f>
        <v>0</v>
      </c>
      <c r="M22" s="54">
        <f>COUNTIFS(DETAILS!F:F,I22,DETAILS!G:G,"Not Applicable")</f>
        <v>0</v>
      </c>
      <c r="N22" s="45"/>
      <c r="O22" s="82">
        <f>COUNTIFS(DETAILS!F:F,I22,DETAILS!D:D,$O$1,DETAILS!G:G,"&lt;&gt;Undecided")</f>
        <v>0</v>
      </c>
      <c r="P22" s="131">
        <f>COUNTIFS(DETAILS!F:F,I22,DETAILS!D:D,$O$1,DETAILS!G:G,"Undecided")</f>
        <v>0</v>
      </c>
      <c r="Q22" s="205">
        <f>COUNTIFS(DETAILS!F:F,I22,DETAILS!D:D,$Q$1,DETAILS!G:G,"&lt;&gt;Undecided")</f>
        <v>0</v>
      </c>
      <c r="R22" s="132">
        <f>COUNTIFS(DETAILS!F:F,I22,DETAILS!D:D,$Q$1,DETAILS!G:G,"Undecided")</f>
        <v>0</v>
      </c>
      <c r="S22" s="82">
        <f>COUNTIFS(DETAILS!F:F,I22,DETAILS!D:D,$S$1,DETAILS!G:G,"&lt;&gt;Undecided")</f>
        <v>0</v>
      </c>
      <c r="T22" s="131">
        <f>COUNTIFS(DETAILS!F:F,I22,DETAILS!D:D,$S$1,DETAILS!G:G,"Undecided")</f>
        <v>0</v>
      </c>
      <c r="U22" s="82">
        <f>COUNTIFS(DETAILS!F:F,I22,DETAILS!D:D,"Brute Force*",DETAILS!G:G,"&lt;&gt;Undecided")</f>
        <v>0</v>
      </c>
      <c r="V22" s="131">
        <f>COUNTIFS(DETAILS!F:F,I22,DETAILS!D:D,"Brute Force*",DETAILS!G:G,"Undecided")</f>
        <v>0</v>
      </c>
      <c r="W22" s="83">
        <f>COUNTIFS(DETAILS!F:F,I22,DETAILS!D:D,$W$1,DETAILS!G:G,"&lt;&gt;Undecided")</f>
        <v>0</v>
      </c>
      <c r="X22" s="132">
        <f>COUNTIFS(DETAILS!F:F,I22,DETAILS!D:D,$W$1,DETAILS!G:G,"Undecided")</f>
        <v>0</v>
      </c>
      <c r="Y22" s="82">
        <f>COUNTIFS(DETAILS!F:F,I22,DETAILS!D:D,$Y$1,DETAILS!G:G,"&lt;&gt;Undecided")</f>
        <v>0</v>
      </c>
      <c r="Z22" s="131">
        <f>COUNTIFS(DETAILS!F:F,I22,DETAILS!D:D,$Y$1,DETAILS!G:G,"Undecided")</f>
        <v>0</v>
      </c>
      <c r="AA22" s="82">
        <f>COUNTIFS(DETAILS!F:F,I22,DETAILS!D:D,$AA$1,DETAILS!G:G,"&lt;&gt;Undecided")</f>
        <v>0</v>
      </c>
      <c r="AB22" s="131">
        <f>COUNTIFS(DETAILS!F:F,I22,DETAILS!D:D,$AA$1,DETAILS!G:G,"Undecided")</f>
        <v>0</v>
      </c>
      <c r="AC22" s="83">
        <f>COUNTIFS(DETAILS!F:F,I22,DETAILS!D:D,$AC$1,DETAILS!G:G,"&lt;&gt;Undecided")</f>
        <v>0</v>
      </c>
      <c r="AD22" s="132">
        <f>COUNTIFS(DETAILS!F:F,I22,DETAILS!D:D,$AC$1,DETAILS!G:G,"Undecided")</f>
        <v>0</v>
      </c>
      <c r="AE22" s="171">
        <f>COUNTIFS(DETAILS!F:F,I22,DETAILS!D:D,$AE$1,DETAILS!G:G,"&lt;&gt;Undecided")</f>
        <v>0</v>
      </c>
      <c r="AF22" s="131">
        <f>COUNTIFS(DETAILS!F:F,I22,DETAILS!D:D,$AE$1,DETAILS!G:G,"Undecided")</f>
        <v>0</v>
      </c>
      <c r="AG22" s="205">
        <f>COUNTIFS(DETAILS!F:F,I22,DETAILS!D:D,"*Linux*",DETAILS!G:G,"&lt;&gt;Undecided")</f>
        <v>0</v>
      </c>
      <c r="AH22" s="132">
        <f>COUNTIFS(DETAILS!F:F,I22,DETAILS!D:D,"*Linux*",DETAILS!G:G,"Undecided")</f>
        <v>0</v>
      </c>
      <c r="AI22" s="82">
        <f>COUNTIFS(DETAILS!F:F,I22,DETAILS!D:D,"*Local Credentials",DETAILS!G:G,"&lt;&gt;Undecided")</f>
        <v>0</v>
      </c>
      <c r="AJ22" s="133">
        <f>COUNTIFS(DETAILS!F:F,I22,DETAILS!D:D,"*Local Credentials",DETAILS!G:G,"Undecided")</f>
        <v>0</v>
      </c>
      <c r="AK22" s="170">
        <f>COUNTIFS(DETAILS!F:F,I22,DETAILS!D:D,"*Administrator Impersonation",DETAILS!G:G,"&lt;&gt;Undecided")</f>
        <v>0</v>
      </c>
      <c r="AL22" s="168">
        <f>COUNTIFS(DETAILS!F:F,I22,DETAILS!D:D,"*Administrator Impersonation",DETAILS!G:G,"Undecided")</f>
        <v>0</v>
      </c>
      <c r="AM22" s="102">
        <f>COUNTIFS(DETAILS!F:F,I22,DETAILS!D:D,"*Service Account",DETAILS!G:G,"&lt;&gt;Undecided")</f>
        <v>0</v>
      </c>
      <c r="AN22" s="133">
        <f>COUNTIFS(DETAILS!F:F,I22,DETAILS!D:D,"*Service Account",DETAILS!G:G,"Undecided")</f>
        <v>0</v>
      </c>
      <c r="AP22" s="45">
        <f t="shared" si="0"/>
        <v>0</v>
      </c>
    </row>
    <row r="23" spans="2:42" ht="15" thickBot="1" x14ac:dyDescent="0.4">
      <c r="B23" s="55">
        <f>SUM(B3:B22)</f>
        <v>0</v>
      </c>
      <c r="C23" s="55">
        <f t="shared" ref="C23:E23" si="1">SUM(C3:C22)</f>
        <v>0</v>
      </c>
      <c r="D23" s="55">
        <f t="shared" si="1"/>
        <v>0</v>
      </c>
      <c r="E23" s="55">
        <f t="shared" si="1"/>
        <v>0</v>
      </c>
      <c r="F23" s="56">
        <f>SUM(F3:F22)</f>
        <v>0</v>
      </c>
      <c r="G23" s="56">
        <f>SUM(G3:G22)</f>
        <v>0</v>
      </c>
      <c r="H23" s="56">
        <f>SUM(H3:H22)</f>
        <v>0</v>
      </c>
      <c r="I23" s="48" t="s">
        <v>183</v>
      </c>
      <c r="J23" s="49">
        <f>SUM(J3:J22)</f>
        <v>0</v>
      </c>
      <c r="K23" s="49">
        <f t="shared" ref="K23:AA23" si="2">SUM(K3:K22)</f>
        <v>0</v>
      </c>
      <c r="L23" s="49">
        <f t="shared" si="2"/>
        <v>0</v>
      </c>
      <c r="M23" s="49">
        <f t="shared" si="2"/>
        <v>0</v>
      </c>
      <c r="N23" s="57"/>
      <c r="O23" s="84">
        <f t="shared" si="2"/>
        <v>0</v>
      </c>
      <c r="P23" s="134">
        <f>SUM(P3:P22)</f>
        <v>0</v>
      </c>
      <c r="Q23" s="212">
        <f>SUM(Q3:Q22)</f>
        <v>0</v>
      </c>
      <c r="R23" s="135">
        <f>SUM(R3:R22)</f>
        <v>0</v>
      </c>
      <c r="S23" s="84">
        <f t="shared" si="2"/>
        <v>0</v>
      </c>
      <c r="T23" s="85">
        <f>SUM(T3:T22)</f>
        <v>0</v>
      </c>
      <c r="U23" s="84">
        <f t="shared" si="2"/>
        <v>0</v>
      </c>
      <c r="V23" s="134">
        <f>SUM(V3:V22)</f>
        <v>0</v>
      </c>
      <c r="W23" s="86">
        <f>SUM(W3:W22)</f>
        <v>0</v>
      </c>
      <c r="X23" s="135">
        <f>SUM(X3:X22)</f>
        <v>0</v>
      </c>
      <c r="Y23" s="84">
        <f>SUM(Y3:Y22)</f>
        <v>0</v>
      </c>
      <c r="Z23" s="134">
        <f>SUM(Z3:Z22)</f>
        <v>0</v>
      </c>
      <c r="AA23" s="84">
        <f t="shared" si="2"/>
        <v>0</v>
      </c>
      <c r="AB23" s="134">
        <f t="shared" ref="AB23:AH23" si="3">SUM(AB3:AB22)</f>
        <v>0</v>
      </c>
      <c r="AC23" s="86">
        <f t="shared" si="3"/>
        <v>0</v>
      </c>
      <c r="AD23" s="135">
        <f t="shared" si="3"/>
        <v>0</v>
      </c>
      <c r="AE23" s="86">
        <f t="shared" si="3"/>
        <v>0</v>
      </c>
      <c r="AF23" s="135">
        <f t="shared" si="3"/>
        <v>0</v>
      </c>
      <c r="AG23" s="86">
        <f t="shared" si="3"/>
        <v>0</v>
      </c>
      <c r="AH23" s="135">
        <f t="shared" si="3"/>
        <v>0</v>
      </c>
      <c r="AI23" s="84">
        <f t="shared" ref="AI23:AN23" si="4">SUM(AI3:AI22)</f>
        <v>0</v>
      </c>
      <c r="AJ23" s="134">
        <f t="shared" si="4"/>
        <v>0</v>
      </c>
      <c r="AK23" s="84">
        <f t="shared" si="4"/>
        <v>0</v>
      </c>
      <c r="AL23" s="134">
        <f t="shared" si="4"/>
        <v>0</v>
      </c>
      <c r="AM23" s="84">
        <f t="shared" si="4"/>
        <v>0</v>
      </c>
      <c r="AN23" s="134">
        <f t="shared" si="4"/>
        <v>0</v>
      </c>
    </row>
    <row r="24" spans="2:42" ht="15" thickBot="1" x14ac:dyDescent="0.4">
      <c r="B24" s="276">
        <f>SUM(B23:E23)</f>
        <v>0</v>
      </c>
      <c r="C24" s="276"/>
      <c r="D24" s="276"/>
      <c r="E24" s="276"/>
      <c r="O24" s="264">
        <f>O23+P23</f>
        <v>0</v>
      </c>
      <c r="P24" s="265"/>
      <c r="Q24" s="264">
        <f>Q23+R23</f>
        <v>0</v>
      </c>
      <c r="R24" s="265"/>
      <c r="S24" s="264">
        <f>S23+T23</f>
        <v>0</v>
      </c>
      <c r="T24" s="265"/>
      <c r="U24" s="264">
        <f>U23+V23</f>
        <v>0</v>
      </c>
      <c r="V24" s="265"/>
      <c r="W24" s="270">
        <f>W23+X23</f>
        <v>0</v>
      </c>
      <c r="X24" s="271"/>
      <c r="Y24" s="270">
        <f>Y23+Z23</f>
        <v>0</v>
      </c>
      <c r="Z24" s="275"/>
      <c r="AA24" s="264">
        <f>AA23+AB23</f>
        <v>0</v>
      </c>
      <c r="AB24" s="265"/>
      <c r="AC24" s="272">
        <f>AC23+AD23</f>
        <v>0</v>
      </c>
      <c r="AD24" s="272"/>
      <c r="AE24" s="272">
        <f>AE23+AF23</f>
        <v>0</v>
      </c>
      <c r="AF24" s="272"/>
      <c r="AG24" s="272">
        <f>AG23+AH23</f>
        <v>0</v>
      </c>
      <c r="AH24" s="272"/>
      <c r="AI24" s="264">
        <f>AI23+AJ23</f>
        <v>0</v>
      </c>
      <c r="AJ24" s="265"/>
      <c r="AK24" s="264">
        <f>AK23+AL23</f>
        <v>0</v>
      </c>
      <c r="AL24" s="265"/>
      <c r="AM24" s="264">
        <f>AM23+AN23</f>
        <v>0</v>
      </c>
      <c r="AN24" s="265"/>
    </row>
    <row r="29" spans="2:42" x14ac:dyDescent="0.35">
      <c r="I29" s="192"/>
    </row>
    <row r="30" spans="2:42" x14ac:dyDescent="0.35">
      <c r="I30" s="192"/>
    </row>
    <row r="31" spans="2:42" x14ac:dyDescent="0.35">
      <c r="I31" s="192"/>
      <c r="J31" t="s">
        <v>879</v>
      </c>
    </row>
    <row r="32" spans="2:42" x14ac:dyDescent="0.35">
      <c r="I32" s="192"/>
      <c r="J32" t="s">
        <v>174</v>
      </c>
      <c r="K32" s="45">
        <f>J23</f>
        <v>0</v>
      </c>
    </row>
    <row r="33" spans="9:11" x14ac:dyDescent="0.35">
      <c r="I33" s="192"/>
      <c r="J33" t="s">
        <v>297</v>
      </c>
      <c r="K33" s="45">
        <f>K23</f>
        <v>0</v>
      </c>
    </row>
    <row r="34" spans="9:11" x14ac:dyDescent="0.35">
      <c r="I34" s="192"/>
    </row>
    <row r="35" spans="9:11" x14ac:dyDescent="0.35">
      <c r="I35" s="192"/>
    </row>
    <row r="36" spans="9:11" x14ac:dyDescent="0.35">
      <c r="I36" s="192"/>
      <c r="J36" t="s">
        <v>880</v>
      </c>
    </row>
    <row r="37" spans="9:11" x14ac:dyDescent="0.35">
      <c r="I37" s="192"/>
      <c r="J37" t="s">
        <v>174</v>
      </c>
      <c r="K37" s="45">
        <f>COUNTIFS(Request!D:D,"&lt;&gt;",Request!F:F,"&lt;&gt;",Request!H:H,"")</f>
        <v>0</v>
      </c>
    </row>
    <row r="38" spans="9:11" x14ac:dyDescent="0.35">
      <c r="I38" s="192"/>
      <c r="J38" t="s">
        <v>297</v>
      </c>
      <c r="K38" s="45">
        <f>COUNTIFS(Request!D:D,"&lt;&gt;",Request!F:F,"&lt;&gt;",Request!H:H,"&lt;&gt;")-1</f>
        <v>0</v>
      </c>
    </row>
    <row r="39" spans="9:11" x14ac:dyDescent="0.35">
      <c r="I39" s="194"/>
    </row>
    <row r="40" spans="9:11" x14ac:dyDescent="0.35">
      <c r="I40" s="194"/>
    </row>
    <row r="41" spans="9:11" x14ac:dyDescent="0.35">
      <c r="I41" s="194"/>
    </row>
    <row r="42" spans="9:11" x14ac:dyDescent="0.35">
      <c r="I42" s="194"/>
    </row>
    <row r="43" spans="9:11" x14ac:dyDescent="0.35">
      <c r="I43" s="194"/>
    </row>
    <row r="44" spans="9:11" x14ac:dyDescent="0.35">
      <c r="I44" s="194"/>
    </row>
    <row r="45" spans="9:11" x14ac:dyDescent="0.35">
      <c r="I45" s="194"/>
    </row>
    <row r="46" spans="9:11" x14ac:dyDescent="0.35">
      <c r="I46" s="194"/>
    </row>
    <row r="47" spans="9:11" x14ac:dyDescent="0.35">
      <c r="I47" s="194"/>
    </row>
    <row r="48" spans="9:11" x14ac:dyDescent="0.35">
      <c r="I48" s="194"/>
    </row>
    <row r="49" spans="9:9" x14ac:dyDescent="0.35">
      <c r="I49" s="194"/>
    </row>
    <row r="50" spans="9:9" x14ac:dyDescent="0.35">
      <c r="I50" s="194"/>
    </row>
    <row r="51" spans="9:9" x14ac:dyDescent="0.35">
      <c r="I51" s="194"/>
    </row>
    <row r="52" spans="9:9" x14ac:dyDescent="0.35">
      <c r="I52" s="194"/>
    </row>
    <row r="53" spans="9:9" x14ac:dyDescent="0.35">
      <c r="I53" s="194"/>
    </row>
    <row r="54" spans="9:9" x14ac:dyDescent="0.35">
      <c r="I54" s="194"/>
    </row>
    <row r="55" spans="9:9" x14ac:dyDescent="0.35">
      <c r="I55" s="194"/>
    </row>
    <row r="56" spans="9:9" x14ac:dyDescent="0.35">
      <c r="I56" s="194"/>
    </row>
    <row r="57" spans="9:9" x14ac:dyDescent="0.35">
      <c r="I57" s="194"/>
    </row>
    <row r="58" spans="9:9" x14ac:dyDescent="0.35">
      <c r="I58" s="192"/>
    </row>
    <row r="59" spans="9:9" x14ac:dyDescent="0.35">
      <c r="I59" s="192"/>
    </row>
    <row r="60" spans="9:9" x14ac:dyDescent="0.35">
      <c r="I60" s="192"/>
    </row>
    <row r="61" spans="9:9" x14ac:dyDescent="0.35">
      <c r="I61" s="192"/>
    </row>
  </sheetData>
  <mergeCells count="31">
    <mergeCell ref="B24:E24"/>
    <mergeCell ref="U1:V1"/>
    <mergeCell ref="AA1:AB1"/>
    <mergeCell ref="AI1:AJ1"/>
    <mergeCell ref="O24:P24"/>
    <mergeCell ref="S24:T24"/>
    <mergeCell ref="U24:V24"/>
    <mergeCell ref="AA24:AB24"/>
    <mergeCell ref="AI24:AJ24"/>
    <mergeCell ref="B1:E1"/>
    <mergeCell ref="F1:H1"/>
    <mergeCell ref="J1:M1"/>
    <mergeCell ref="O1:P1"/>
    <mergeCell ref="S1:T1"/>
    <mergeCell ref="AG1:AH1"/>
    <mergeCell ref="AG24:AH24"/>
    <mergeCell ref="Q1:R1"/>
    <mergeCell ref="Q24:R24"/>
    <mergeCell ref="AO1:AO2"/>
    <mergeCell ref="AM24:AN24"/>
    <mergeCell ref="AM1:AN1"/>
    <mergeCell ref="W1:X1"/>
    <mergeCell ref="W24:X24"/>
    <mergeCell ref="AC1:AD1"/>
    <mergeCell ref="AC24:AD24"/>
    <mergeCell ref="AK1:AL1"/>
    <mergeCell ref="AK24:AL24"/>
    <mergeCell ref="AE1:AF1"/>
    <mergeCell ref="AE24:AF24"/>
    <mergeCell ref="Y1:Z1"/>
    <mergeCell ref="Y24:Z24"/>
  </mergeCells>
  <conditionalFormatting sqref="B1:E23">
    <cfRule type="cellIs" dxfId="3" priority="1" operator="greaterThan">
      <formula>0</formula>
    </cfRule>
  </conditionalFormatting>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CA605-7D5F-41C8-957C-0B625004B3AF}">
  <sheetPr codeName="Sheet1"/>
  <dimension ref="A1:AN97"/>
  <sheetViews>
    <sheetView topLeftCell="AF1" zoomScale="80" zoomScaleNormal="80" workbookViewId="0">
      <selection activeCell="AM7" sqref="AM7"/>
    </sheetView>
  </sheetViews>
  <sheetFormatPr defaultRowHeight="14.5" x14ac:dyDescent="0.35"/>
  <cols>
    <col min="1" max="1" width="35.90625" customWidth="1"/>
    <col min="2" max="2" width="40.7265625" customWidth="1"/>
    <col min="3" max="3" width="49.81640625" customWidth="1"/>
    <col min="5" max="5" width="20.6328125" customWidth="1"/>
    <col min="6" max="6" width="68.6328125" customWidth="1"/>
    <col min="8" max="8" width="12.26953125" customWidth="1"/>
    <col min="9" max="9" width="21.81640625" customWidth="1"/>
    <col min="10" max="10" width="21.26953125" customWidth="1"/>
    <col min="11" max="11" width="25.08984375" customWidth="1"/>
    <col min="12" max="12" width="24.90625" customWidth="1"/>
    <col min="13" max="13" width="31.81640625" customWidth="1"/>
    <col min="14" max="14" width="23.90625" customWidth="1"/>
    <col min="15" max="15" width="24.36328125" customWidth="1"/>
    <col min="16" max="16" width="58.26953125" customWidth="1"/>
    <col min="17" max="17" width="11.26953125" customWidth="1"/>
    <col min="19" max="20" width="12.6328125" bestFit="1" customWidth="1"/>
    <col min="21" max="21" width="17" bestFit="1" customWidth="1"/>
    <col min="22" max="22" width="49.1796875" customWidth="1"/>
    <col min="23" max="23" width="13.453125" bestFit="1" customWidth="1"/>
    <col min="24" max="24" width="10.26953125" bestFit="1" customWidth="1"/>
    <col min="25" max="25" width="15.6328125" bestFit="1" customWidth="1"/>
    <col min="26" max="26" width="14.36328125" bestFit="1" customWidth="1"/>
    <col min="27" max="27" width="52.90625" customWidth="1"/>
    <col min="28" max="28" width="18.81640625" bestFit="1" customWidth="1"/>
    <col min="29" max="29" width="9.81640625" customWidth="1"/>
    <col min="30" max="30" width="21.81640625" style="108" bestFit="1" customWidth="1"/>
    <col min="31" max="31" width="33.1796875" bestFit="1" customWidth="1"/>
    <col min="32" max="32" width="13.90625" customWidth="1"/>
    <col min="34" max="34" width="20.90625" style="245" customWidth="1"/>
    <col min="35" max="35" width="14.6328125" style="245" bestFit="1" customWidth="1"/>
    <col min="36" max="36" width="7.6328125" style="245" bestFit="1" customWidth="1"/>
    <col min="37" max="37" width="33.81640625" style="245" bestFit="1" customWidth="1"/>
    <col min="38" max="38" width="28.54296875" style="245" bestFit="1" customWidth="1"/>
    <col min="39" max="39" width="71.1796875" style="246" customWidth="1"/>
  </cols>
  <sheetData>
    <row r="1" spans="1:40" ht="28" x14ac:dyDescent="0.35">
      <c r="A1" s="217" t="s">
        <v>707</v>
      </c>
      <c r="C1" s="91" t="s">
        <v>897</v>
      </c>
      <c r="E1" s="4" t="s">
        <v>1711</v>
      </c>
      <c r="F1" s="5"/>
      <c r="I1" s="6" t="s">
        <v>130</v>
      </c>
      <c r="J1" s="7"/>
      <c r="K1" s="7"/>
      <c r="L1" s="8"/>
      <c r="N1" s="19" t="s">
        <v>25</v>
      </c>
      <c r="O1" s="20"/>
      <c r="P1" s="21"/>
      <c r="S1" s="98" t="s">
        <v>184</v>
      </c>
      <c r="T1" s="98" t="s">
        <v>139</v>
      </c>
      <c r="U1" s="98" t="s">
        <v>186</v>
      </c>
      <c r="V1" s="98" t="s">
        <v>187</v>
      </c>
      <c r="W1" s="98" t="s">
        <v>157</v>
      </c>
      <c r="X1" s="99" t="s">
        <v>143</v>
      </c>
      <c r="Y1" s="100" t="s">
        <v>136</v>
      </c>
      <c r="Z1" s="90" t="s">
        <v>268</v>
      </c>
      <c r="AA1" s="90" t="s">
        <v>193</v>
      </c>
      <c r="AB1" s="90" t="s">
        <v>157</v>
      </c>
      <c r="AC1" s="90" t="s">
        <v>158</v>
      </c>
      <c r="AD1" s="107" t="s">
        <v>195</v>
      </c>
      <c r="AE1" s="90" t="s">
        <v>194</v>
      </c>
      <c r="AH1" s="241" t="s">
        <v>927</v>
      </c>
      <c r="AI1" s="241" t="s">
        <v>225</v>
      </c>
      <c r="AJ1" s="241" t="s">
        <v>928</v>
      </c>
      <c r="AK1" s="241" t="s">
        <v>211</v>
      </c>
      <c r="AL1" s="241" t="s">
        <v>929</v>
      </c>
      <c r="AM1" s="242" t="s">
        <v>620</v>
      </c>
      <c r="AN1" s="247" t="s">
        <v>618</v>
      </c>
    </row>
    <row r="2" spans="1:40" x14ac:dyDescent="0.35">
      <c r="A2" s="217"/>
      <c r="C2" s="92"/>
      <c r="E2" s="9"/>
      <c r="F2" s="10"/>
      <c r="I2" s="11"/>
      <c r="J2" s="12"/>
      <c r="K2" s="12"/>
      <c r="L2" s="13"/>
      <c r="N2" s="22"/>
      <c r="P2" s="23"/>
      <c r="S2" s="104" t="s">
        <v>595</v>
      </c>
      <c r="T2" s="104" t="s">
        <v>596</v>
      </c>
      <c r="U2" s="61" t="s">
        <v>597</v>
      </c>
      <c r="V2" s="61" t="s">
        <v>598</v>
      </c>
      <c r="W2" s="61" t="s">
        <v>599</v>
      </c>
      <c r="X2" s="71">
        <v>9.4548611111111111E-2</v>
      </c>
      <c r="Y2" s="72">
        <v>44869</v>
      </c>
      <c r="Z2" s="195" t="s">
        <v>253</v>
      </c>
      <c r="AA2" s="43" t="s">
        <v>251</v>
      </c>
      <c r="AB2" s="43" t="s">
        <v>166</v>
      </c>
      <c r="AC2" s="43" t="s">
        <v>247</v>
      </c>
      <c r="AD2" s="109">
        <v>44750.812094907407</v>
      </c>
      <c r="AE2" s="280" t="s">
        <v>252</v>
      </c>
      <c r="AH2" s="256"/>
      <c r="AI2" s="256"/>
      <c r="AJ2" s="256"/>
      <c r="AK2" s="256"/>
      <c r="AL2" s="256"/>
      <c r="AM2" s="257"/>
      <c r="AN2" s="248">
        <v>0</v>
      </c>
    </row>
    <row r="3" spans="1:40" x14ac:dyDescent="0.35">
      <c r="A3" s="217" t="s">
        <v>706</v>
      </c>
      <c r="B3" t="s">
        <v>705</v>
      </c>
      <c r="C3" s="92" t="s">
        <v>131</v>
      </c>
      <c r="E3" s="9" t="s">
        <v>239</v>
      </c>
      <c r="F3" s="10"/>
      <c r="I3" s="11" t="s">
        <v>132</v>
      </c>
      <c r="J3" s="12"/>
      <c r="K3" s="12"/>
      <c r="L3" s="13"/>
      <c r="N3" s="22" t="s">
        <v>53</v>
      </c>
      <c r="P3" s="23"/>
      <c r="S3" s="104" t="s">
        <v>600</v>
      </c>
      <c r="T3" s="104" t="s">
        <v>95</v>
      </c>
      <c r="U3" s="104" t="s">
        <v>590</v>
      </c>
      <c r="V3" s="104" t="s">
        <v>591</v>
      </c>
      <c r="W3" s="104" t="s">
        <v>189</v>
      </c>
      <c r="X3" s="105">
        <v>3.622685185185185E-2</v>
      </c>
      <c r="Y3" s="106">
        <v>44869</v>
      </c>
      <c r="Z3" s="195" t="s">
        <v>255</v>
      </c>
      <c r="AA3" s="43" t="s">
        <v>254</v>
      </c>
      <c r="AB3" s="43" t="s">
        <v>166</v>
      </c>
      <c r="AC3" s="43" t="s">
        <v>247</v>
      </c>
      <c r="AD3" s="109">
        <v>44750.812141203707</v>
      </c>
      <c r="AE3" s="281"/>
      <c r="AH3" s="256"/>
      <c r="AI3" s="256"/>
      <c r="AJ3" s="256"/>
      <c r="AK3" s="256"/>
      <c r="AL3" s="256"/>
      <c r="AM3" s="257"/>
      <c r="AN3" s="248" t="s">
        <v>1693</v>
      </c>
    </row>
    <row r="4" spans="1:40" x14ac:dyDescent="0.35">
      <c r="A4" s="217"/>
      <c r="B4" t="s">
        <v>704</v>
      </c>
      <c r="C4" s="92" t="s">
        <v>133</v>
      </c>
      <c r="E4" s="9" t="s">
        <v>134</v>
      </c>
      <c r="F4" s="10" t="s">
        <v>896</v>
      </c>
      <c r="I4" s="11"/>
      <c r="J4" s="12"/>
      <c r="K4" s="12"/>
      <c r="L4" s="13"/>
      <c r="N4" s="22"/>
      <c r="P4" s="23"/>
      <c r="S4" s="104" t="s">
        <v>589</v>
      </c>
      <c r="T4" s="104" t="s">
        <v>57</v>
      </c>
      <c r="U4" s="104" t="s">
        <v>593</v>
      </c>
      <c r="V4" s="104" t="s">
        <v>601</v>
      </c>
      <c r="W4" s="104" t="s">
        <v>189</v>
      </c>
      <c r="X4" s="105">
        <v>1.9953703703703706E-2</v>
      </c>
      <c r="Y4" s="106">
        <v>44869</v>
      </c>
      <c r="Z4" s="195" t="s">
        <v>257</v>
      </c>
      <c r="AA4" s="43" t="s">
        <v>256</v>
      </c>
      <c r="AB4" s="43" t="s">
        <v>166</v>
      </c>
      <c r="AC4" s="43" t="s">
        <v>247</v>
      </c>
      <c r="AD4" s="109">
        <v>44750.812361111108</v>
      </c>
      <c r="AE4" s="281"/>
      <c r="AH4" s="256"/>
      <c r="AI4" s="256"/>
      <c r="AJ4" s="256"/>
      <c r="AK4" s="256"/>
      <c r="AL4" s="256"/>
      <c r="AM4" s="257"/>
    </row>
    <row r="5" spans="1:40" x14ac:dyDescent="0.35">
      <c r="A5" s="217" t="s">
        <v>135</v>
      </c>
      <c r="C5" s="92"/>
      <c r="E5" s="9" t="s">
        <v>240</v>
      </c>
      <c r="F5" s="10"/>
      <c r="I5" s="14" t="s">
        <v>136</v>
      </c>
      <c r="J5" s="14" t="s">
        <v>137</v>
      </c>
      <c r="K5" s="15" t="s">
        <v>138</v>
      </c>
      <c r="L5" s="16" t="s">
        <v>139</v>
      </c>
      <c r="N5" s="24" t="s">
        <v>143</v>
      </c>
      <c r="O5" s="25" t="s">
        <v>144</v>
      </c>
      <c r="P5" s="26" t="s">
        <v>145</v>
      </c>
      <c r="S5" s="104"/>
      <c r="T5" s="104"/>
      <c r="U5" s="104"/>
      <c r="V5" s="104"/>
      <c r="W5" s="104"/>
      <c r="X5" s="105"/>
      <c r="Y5" s="106"/>
      <c r="Z5" s="195" t="s">
        <v>259</v>
      </c>
      <c r="AA5" s="43" t="s">
        <v>258</v>
      </c>
      <c r="AB5" s="43" t="s">
        <v>166</v>
      </c>
      <c r="AC5" s="43" t="s">
        <v>247</v>
      </c>
      <c r="AD5" s="109">
        <v>44750.808113425926</v>
      </c>
      <c r="AE5" s="281"/>
      <c r="AH5" s="256"/>
      <c r="AI5" s="256"/>
      <c r="AJ5" s="256"/>
      <c r="AK5" s="256"/>
      <c r="AL5" s="256"/>
      <c r="AM5" s="257"/>
    </row>
    <row r="6" spans="1:40" ht="15" thickBot="1" x14ac:dyDescent="0.4">
      <c r="C6" s="93" t="s">
        <v>140</v>
      </c>
      <c r="E6" s="9"/>
      <c r="F6" s="10"/>
      <c r="I6" s="127" t="s">
        <v>819</v>
      </c>
      <c r="J6" s="128" t="s">
        <v>820</v>
      </c>
      <c r="K6" s="28" t="s">
        <v>827</v>
      </c>
      <c r="L6" s="129" t="s">
        <v>826</v>
      </c>
      <c r="N6" s="27">
        <v>44728.977777777778</v>
      </c>
      <c r="O6" s="28" t="s">
        <v>13</v>
      </c>
      <c r="P6" s="28" t="s">
        <v>201</v>
      </c>
      <c r="S6" s="104"/>
      <c r="T6" s="104"/>
      <c r="U6" s="104"/>
      <c r="V6" s="104"/>
      <c r="W6" s="104"/>
      <c r="X6" s="105"/>
      <c r="Y6" s="106"/>
      <c r="Z6" s="195" t="s">
        <v>261</v>
      </c>
      <c r="AA6" s="43" t="s">
        <v>260</v>
      </c>
      <c r="AB6" s="43" t="s">
        <v>166</v>
      </c>
      <c r="AC6" s="43" t="s">
        <v>247</v>
      </c>
      <c r="AD6" s="109">
        <v>44750.811932870369</v>
      </c>
      <c r="AE6" s="281"/>
      <c r="AH6" s="256"/>
      <c r="AI6" s="256"/>
      <c r="AJ6" s="256"/>
      <c r="AK6" s="256"/>
      <c r="AL6" s="256"/>
      <c r="AM6" s="257"/>
    </row>
    <row r="7" spans="1:40" ht="15" thickBot="1" x14ac:dyDescent="0.4">
      <c r="E7" s="17" t="s">
        <v>141</v>
      </c>
      <c r="F7" s="18"/>
      <c r="I7" s="130" t="s">
        <v>821</v>
      </c>
      <c r="J7" s="28" t="s">
        <v>822</v>
      </c>
      <c r="K7" s="28" t="s">
        <v>827</v>
      </c>
      <c r="L7" s="129" t="s">
        <v>826</v>
      </c>
      <c r="N7" s="27" t="s">
        <v>203</v>
      </c>
      <c r="O7" s="28" t="s">
        <v>13</v>
      </c>
      <c r="P7" s="28" t="s">
        <v>202</v>
      </c>
      <c r="S7" s="104"/>
      <c r="T7" s="104"/>
      <c r="U7" s="104"/>
      <c r="V7" s="104"/>
      <c r="W7" s="104"/>
      <c r="X7" s="105"/>
      <c r="Y7" s="106"/>
      <c r="Z7" s="195" t="s">
        <v>263</v>
      </c>
      <c r="AA7" s="43" t="s">
        <v>262</v>
      </c>
      <c r="AB7" s="43" t="s">
        <v>166</v>
      </c>
      <c r="AC7" s="43" t="s">
        <v>247</v>
      </c>
      <c r="AD7" s="109">
        <v>44750.808263888888</v>
      </c>
      <c r="AE7" s="281"/>
      <c r="AH7" s="256"/>
      <c r="AI7" s="256"/>
      <c r="AJ7" s="256"/>
      <c r="AK7" s="256"/>
      <c r="AL7" s="256"/>
      <c r="AM7" s="257"/>
    </row>
    <row r="8" spans="1:40" x14ac:dyDescent="0.35">
      <c r="A8" s="19" t="s">
        <v>1711</v>
      </c>
      <c r="B8" s="282"/>
      <c r="C8" s="282"/>
      <c r="I8" s="130" t="s">
        <v>823</v>
      </c>
      <c r="J8" s="28" t="s">
        <v>824</v>
      </c>
      <c r="K8" s="28" t="s">
        <v>825</v>
      </c>
      <c r="L8" s="129" t="s">
        <v>826</v>
      </c>
      <c r="N8" s="22"/>
      <c r="P8" s="23"/>
      <c r="S8" s="104"/>
      <c r="T8" s="104"/>
      <c r="U8" s="104"/>
      <c r="V8" s="104"/>
      <c r="W8" s="104"/>
      <c r="X8" s="105"/>
      <c r="Y8" s="106"/>
      <c r="Z8" s="195" t="s">
        <v>265</v>
      </c>
      <c r="AA8" s="43" t="s">
        <v>264</v>
      </c>
      <c r="AB8" s="43" t="s">
        <v>166</v>
      </c>
      <c r="AC8" s="43" t="s">
        <v>247</v>
      </c>
      <c r="AD8" s="109">
        <v>44750.808900462966</v>
      </c>
      <c r="AE8" s="281"/>
      <c r="AH8" s="256"/>
      <c r="AI8" s="256"/>
      <c r="AJ8" s="256"/>
      <c r="AK8" s="256"/>
      <c r="AL8" s="256"/>
      <c r="AM8" s="257"/>
    </row>
    <row r="9" spans="1:40" ht="15" thickBot="1" x14ac:dyDescent="0.4">
      <c r="A9" s="22"/>
      <c r="B9" s="283"/>
      <c r="C9" s="283"/>
      <c r="I9" s="11"/>
      <c r="J9" s="12"/>
      <c r="K9" s="12"/>
      <c r="L9" s="13"/>
      <c r="N9" s="22"/>
      <c r="P9" s="23"/>
      <c r="S9" s="104"/>
      <c r="T9" s="104"/>
      <c r="U9" s="104"/>
      <c r="V9" s="104"/>
      <c r="W9" s="104"/>
      <c r="X9" s="105"/>
      <c r="Y9" s="106"/>
      <c r="Z9" s="195" t="s">
        <v>267</v>
      </c>
      <c r="AA9" s="43" t="s">
        <v>266</v>
      </c>
      <c r="AB9" s="43" t="s">
        <v>166</v>
      </c>
      <c r="AC9" s="43" t="s">
        <v>247</v>
      </c>
      <c r="AD9" s="109">
        <v>44750.809305555558</v>
      </c>
      <c r="AE9" s="281"/>
      <c r="AH9" s="256"/>
      <c r="AI9" s="256"/>
      <c r="AJ9" s="256"/>
      <c r="AK9" s="256"/>
      <c r="AL9" s="256"/>
      <c r="AM9" s="257"/>
    </row>
    <row r="10" spans="1:40" ht="15" thickBot="1" x14ac:dyDescent="0.4">
      <c r="A10" s="22" t="s">
        <v>37</v>
      </c>
      <c r="B10" s="283"/>
      <c r="C10" s="283"/>
      <c r="E10" s="4" t="s">
        <v>1711</v>
      </c>
      <c r="F10" s="5"/>
      <c r="I10" s="11" t="s">
        <v>142</v>
      </c>
      <c r="J10" s="12"/>
      <c r="K10" s="12"/>
      <c r="L10" s="13"/>
      <c r="N10" s="32" t="s">
        <v>140</v>
      </c>
      <c r="O10" s="33"/>
      <c r="P10" s="34"/>
      <c r="S10" s="104"/>
      <c r="T10" s="104"/>
      <c r="U10" s="104"/>
      <c r="V10" s="104"/>
      <c r="W10" s="104"/>
      <c r="X10" s="105"/>
      <c r="Y10" s="106"/>
      <c r="AH10" s="256"/>
      <c r="AI10" s="256"/>
      <c r="AJ10" s="256"/>
      <c r="AK10" s="256"/>
      <c r="AL10" s="256"/>
      <c r="AM10" s="257"/>
    </row>
    <row r="11" spans="1:40" x14ac:dyDescent="0.35">
      <c r="A11" s="22"/>
      <c r="B11" s="283"/>
      <c r="C11" s="283"/>
      <c r="E11" s="9"/>
      <c r="F11" s="10"/>
      <c r="I11" s="11"/>
      <c r="J11" s="12"/>
      <c r="K11" s="12"/>
      <c r="L11" s="13"/>
      <c r="AH11" s="256"/>
      <c r="AI11" s="256"/>
      <c r="AJ11" s="256"/>
      <c r="AK11" s="256"/>
      <c r="AL11" s="256"/>
      <c r="AM11" s="257"/>
    </row>
    <row r="12" spans="1:40" ht="15" thickBot="1" x14ac:dyDescent="0.4">
      <c r="A12" t="s">
        <v>133</v>
      </c>
      <c r="B12" s="283"/>
      <c r="C12" s="283"/>
      <c r="E12" s="9" t="s">
        <v>146</v>
      </c>
      <c r="F12" s="10"/>
      <c r="I12" s="11" t="s">
        <v>147</v>
      </c>
      <c r="J12" s="12"/>
      <c r="K12" s="12"/>
      <c r="L12" s="13"/>
      <c r="Z12" s="185" t="s">
        <v>560</v>
      </c>
      <c r="AA12" s="186" t="s">
        <v>562</v>
      </c>
      <c r="AB12" s="186" t="s">
        <v>563</v>
      </c>
      <c r="AC12" s="186" t="s">
        <v>566</v>
      </c>
      <c r="AH12" s="256"/>
      <c r="AI12" s="256"/>
      <c r="AJ12" s="256"/>
      <c r="AK12" s="256"/>
      <c r="AL12" s="256"/>
      <c r="AM12" s="257"/>
    </row>
    <row r="13" spans="1:40" x14ac:dyDescent="0.35">
      <c r="A13" t="s">
        <v>140</v>
      </c>
      <c r="B13" s="284"/>
      <c r="C13" s="284"/>
      <c r="E13" s="9" t="s">
        <v>148</v>
      </c>
      <c r="F13" s="10"/>
      <c r="I13" s="11"/>
      <c r="J13" s="12"/>
      <c r="K13" s="12"/>
      <c r="L13" s="13"/>
      <c r="N13" s="201" t="s">
        <v>609</v>
      </c>
      <c r="O13" s="202"/>
      <c r="P13" s="202"/>
      <c r="Q13" s="5"/>
      <c r="Z13" s="187" t="s">
        <v>561</v>
      </c>
      <c r="AA13" s="43" t="s">
        <v>170</v>
      </c>
      <c r="AB13" s="43" t="s">
        <v>564</v>
      </c>
      <c r="AC13" s="43" t="s">
        <v>565</v>
      </c>
      <c r="AH13" s="256"/>
      <c r="AI13" s="256"/>
      <c r="AJ13" s="256"/>
      <c r="AK13" s="256"/>
      <c r="AL13" s="256"/>
      <c r="AM13" s="257"/>
    </row>
    <row r="14" spans="1:40" ht="15" thickBot="1" x14ac:dyDescent="0.4">
      <c r="A14" s="14" t="s">
        <v>143</v>
      </c>
      <c r="B14" s="15" t="s">
        <v>144</v>
      </c>
      <c r="C14" s="16" t="s">
        <v>145</v>
      </c>
      <c r="E14" s="9" t="s">
        <v>147</v>
      </c>
      <c r="F14" s="10"/>
      <c r="I14" s="29" t="s">
        <v>140</v>
      </c>
      <c r="J14" s="30"/>
      <c r="K14" s="30"/>
      <c r="L14" s="31"/>
      <c r="N14" s="203"/>
      <c r="O14" s="204"/>
      <c r="P14" s="204"/>
      <c r="Q14" s="10"/>
      <c r="Z14" s="43" t="s">
        <v>569</v>
      </c>
      <c r="AA14" s="43" t="s">
        <v>170</v>
      </c>
      <c r="AB14" s="43" t="s">
        <v>567</v>
      </c>
      <c r="AC14" s="43" t="s">
        <v>568</v>
      </c>
      <c r="AH14" s="256"/>
      <c r="AI14" s="256"/>
      <c r="AJ14" s="256"/>
      <c r="AK14" s="256"/>
      <c r="AL14" s="256"/>
      <c r="AM14" s="257"/>
    </row>
    <row r="15" spans="1:40" x14ac:dyDescent="0.35">
      <c r="A15" s="27">
        <v>45230</v>
      </c>
      <c r="B15" s="142" t="s">
        <v>912</v>
      </c>
      <c r="C15" s="28" t="s">
        <v>912</v>
      </c>
      <c r="E15" s="9"/>
      <c r="F15" s="10"/>
      <c r="N15" s="203" t="s">
        <v>606</v>
      </c>
      <c r="O15" s="204"/>
      <c r="P15" s="204"/>
      <c r="Q15" s="10"/>
      <c r="AH15" s="256"/>
      <c r="AI15" s="256"/>
      <c r="AJ15" s="256"/>
      <c r="AK15" s="256"/>
      <c r="AL15" s="256"/>
      <c r="AM15" s="257"/>
    </row>
    <row r="16" spans="1:40" ht="15" thickBot="1" x14ac:dyDescent="0.4">
      <c r="A16" s="22"/>
      <c r="C16" s="23"/>
      <c r="E16" s="17" t="s">
        <v>141</v>
      </c>
      <c r="F16" s="18"/>
      <c r="N16" s="9"/>
      <c r="O16" s="204"/>
      <c r="P16" s="204"/>
      <c r="Q16" s="10"/>
      <c r="AH16" s="256"/>
      <c r="AI16" s="256"/>
      <c r="AJ16" s="256"/>
      <c r="AK16" s="256"/>
      <c r="AL16" s="256"/>
      <c r="AM16" s="257"/>
    </row>
    <row r="17" spans="1:39" ht="15" thickBot="1" x14ac:dyDescent="0.4">
      <c r="A17" s="32"/>
      <c r="B17" s="33"/>
      <c r="C17" s="34"/>
      <c r="N17" s="9"/>
      <c r="O17" s="204"/>
      <c r="P17" s="204"/>
      <c r="Q17" s="10"/>
      <c r="AH17" s="256"/>
      <c r="AI17" s="256"/>
      <c r="AJ17" s="256"/>
      <c r="AK17" s="256"/>
      <c r="AL17" s="256"/>
      <c r="AM17" s="257"/>
    </row>
    <row r="18" spans="1:39" ht="15" thickBot="1" x14ac:dyDescent="0.4">
      <c r="N18" s="203"/>
      <c r="O18" s="204"/>
      <c r="P18" s="204"/>
      <c r="Q18" s="10"/>
      <c r="AH18" s="256"/>
      <c r="AI18" s="256"/>
      <c r="AJ18" s="256"/>
      <c r="AK18" s="256"/>
      <c r="AL18" s="256"/>
      <c r="AM18" s="257"/>
    </row>
    <row r="19" spans="1:39" ht="15" thickBot="1" x14ac:dyDescent="0.4">
      <c r="A19" s="110" t="s">
        <v>1711</v>
      </c>
      <c r="B19" s="111"/>
      <c r="C19" s="112"/>
      <c r="E19" s="1" t="s">
        <v>19</v>
      </c>
      <c r="I19" t="s">
        <v>271</v>
      </c>
      <c r="N19" s="203" t="s">
        <v>140</v>
      </c>
      <c r="O19" s="204"/>
      <c r="P19" s="204"/>
      <c r="Q19" s="10"/>
      <c r="AH19" s="256"/>
      <c r="AI19" s="256"/>
      <c r="AJ19" s="256"/>
      <c r="AK19" s="256"/>
      <c r="AL19" s="256"/>
      <c r="AM19" s="257"/>
    </row>
    <row r="20" spans="1:39" ht="15" thickBot="1" x14ac:dyDescent="0.4">
      <c r="A20" s="113"/>
      <c r="B20" s="121"/>
      <c r="C20" s="114"/>
      <c r="I20" t="s">
        <v>273</v>
      </c>
      <c r="N20" s="197" t="s">
        <v>560</v>
      </c>
      <c r="O20" s="198" t="s">
        <v>562</v>
      </c>
      <c r="P20" s="198" t="s">
        <v>563</v>
      </c>
      <c r="Q20" s="198" t="s">
        <v>566</v>
      </c>
      <c r="AH20" s="256"/>
      <c r="AI20" s="256"/>
      <c r="AJ20" s="256"/>
      <c r="AK20" s="256"/>
      <c r="AL20" s="256"/>
      <c r="AM20" s="257"/>
    </row>
    <row r="21" spans="1:39" ht="15" thickBot="1" x14ac:dyDescent="0.4">
      <c r="A21" s="113" t="s">
        <v>204</v>
      </c>
      <c r="B21" s="121"/>
      <c r="C21" s="114"/>
      <c r="E21" t="s">
        <v>149</v>
      </c>
      <c r="I21" t="s">
        <v>274</v>
      </c>
      <c r="J21" s="77"/>
      <c r="K21" s="77"/>
      <c r="L21" s="122"/>
      <c r="M21" s="77"/>
      <c r="N21" s="199" t="s">
        <v>1704</v>
      </c>
      <c r="O21" s="200" t="s">
        <v>241</v>
      </c>
      <c r="P21" s="200" t="s">
        <v>1705</v>
      </c>
      <c r="Q21" s="200" t="s">
        <v>565</v>
      </c>
      <c r="AH21" s="256"/>
      <c r="AI21" s="256"/>
      <c r="AJ21" s="256"/>
      <c r="AK21" s="256"/>
      <c r="AL21" s="256"/>
      <c r="AM21" s="257"/>
    </row>
    <row r="22" spans="1:39" x14ac:dyDescent="0.35">
      <c r="A22" s="113" t="s">
        <v>586</v>
      </c>
      <c r="B22" s="121"/>
      <c r="C22" s="114"/>
      <c r="J22" s="77"/>
      <c r="K22" s="77"/>
      <c r="L22" s="122"/>
      <c r="M22" s="77"/>
      <c r="AH22" s="256"/>
      <c r="AI22" s="256"/>
      <c r="AJ22" s="256"/>
      <c r="AK22" s="256"/>
      <c r="AL22" s="256"/>
      <c r="AM22" s="257"/>
    </row>
    <row r="23" spans="1:39" x14ac:dyDescent="0.35">
      <c r="A23" s="115" t="s">
        <v>143</v>
      </c>
      <c r="B23" s="116" t="s">
        <v>144</v>
      </c>
      <c r="C23" s="117" t="s">
        <v>145</v>
      </c>
      <c r="I23" t="s">
        <v>272</v>
      </c>
      <c r="J23" s="77"/>
      <c r="K23" s="77"/>
      <c r="L23" s="122"/>
      <c r="M23" s="77"/>
      <c r="AH23" s="256"/>
      <c r="AI23" s="256"/>
      <c r="AJ23" s="256"/>
      <c r="AK23" s="256"/>
      <c r="AL23" s="256"/>
      <c r="AM23" s="257"/>
    </row>
    <row r="24" spans="1:39" x14ac:dyDescent="0.35">
      <c r="A24" s="27">
        <v>44869.673611111109</v>
      </c>
      <c r="B24" s="142" t="s">
        <v>603</v>
      </c>
      <c r="C24" s="28" t="s">
        <v>604</v>
      </c>
      <c r="I24" s="77"/>
      <c r="J24" s="77"/>
      <c r="K24" s="77"/>
      <c r="L24" s="122"/>
      <c r="M24" s="77"/>
      <c r="AH24" s="256"/>
      <c r="AI24" s="256"/>
      <c r="AJ24" s="256"/>
      <c r="AK24" s="256"/>
      <c r="AL24" s="256"/>
      <c r="AM24" s="257"/>
    </row>
    <row r="25" spans="1:39" x14ac:dyDescent="0.35">
      <c r="A25" s="27">
        <v>44869.673611111109</v>
      </c>
      <c r="B25" s="142" t="s">
        <v>13</v>
      </c>
      <c r="C25" s="28" t="s">
        <v>574</v>
      </c>
      <c r="E25" s="35" t="s">
        <v>231</v>
      </c>
      <c r="F25" s="35"/>
      <c r="I25" s="123" t="s">
        <v>275</v>
      </c>
      <c r="J25" s="123" t="s">
        <v>276</v>
      </c>
      <c r="K25" s="123" t="s">
        <v>277</v>
      </c>
      <c r="L25" s="122"/>
      <c r="M25" s="77"/>
      <c r="AH25" s="256"/>
      <c r="AI25" s="256"/>
      <c r="AJ25" s="256"/>
      <c r="AK25" s="256"/>
      <c r="AL25" s="256"/>
      <c r="AM25" s="257"/>
    </row>
    <row r="26" spans="1:39" x14ac:dyDescent="0.35">
      <c r="A26" s="138"/>
      <c r="B26" s="28"/>
      <c r="C26" s="28"/>
      <c r="E26" s="35"/>
      <c r="F26" s="35"/>
      <c r="I26" s="124"/>
      <c r="J26" s="125" t="s">
        <v>278</v>
      </c>
      <c r="K26" s="126"/>
      <c r="L26" s="122"/>
      <c r="M26" s="77"/>
      <c r="AH26" s="256"/>
      <c r="AI26" s="256"/>
      <c r="AJ26" s="256"/>
      <c r="AK26" s="256"/>
      <c r="AL26" s="256"/>
      <c r="AM26" s="257"/>
    </row>
    <row r="27" spans="1:39" x14ac:dyDescent="0.35">
      <c r="A27" s="138"/>
      <c r="B27" s="28"/>
      <c r="C27" s="28"/>
      <c r="E27" s="35" t="s">
        <v>150</v>
      </c>
      <c r="F27" s="35"/>
      <c r="AH27" s="256"/>
      <c r="AI27" s="256"/>
      <c r="AJ27" s="256"/>
      <c r="AK27" s="256"/>
      <c r="AL27" s="256"/>
      <c r="AM27" s="257"/>
    </row>
    <row r="28" spans="1:39" x14ac:dyDescent="0.35">
      <c r="A28" s="113"/>
      <c r="B28" s="121"/>
      <c r="C28" s="114"/>
      <c r="E28" s="35" t="s">
        <v>151</v>
      </c>
      <c r="F28" s="35"/>
      <c r="I28" t="s">
        <v>140</v>
      </c>
      <c r="AH28" s="256"/>
      <c r="AI28" s="256"/>
      <c r="AJ28" s="256"/>
      <c r="AK28" s="256"/>
      <c r="AL28" s="256"/>
      <c r="AM28" s="257"/>
    </row>
    <row r="29" spans="1:39" x14ac:dyDescent="0.35">
      <c r="A29" s="113" t="s">
        <v>133</v>
      </c>
      <c r="B29" s="121"/>
      <c r="C29" s="114"/>
      <c r="E29" s="35"/>
      <c r="F29" s="35"/>
      <c r="AH29" s="256"/>
      <c r="AI29" s="256"/>
      <c r="AJ29" s="256"/>
      <c r="AK29" s="256"/>
      <c r="AL29" s="256"/>
      <c r="AM29" s="257"/>
    </row>
    <row r="30" spans="1:39" x14ac:dyDescent="0.35">
      <c r="A30" s="113"/>
      <c r="B30" s="121"/>
      <c r="C30" s="114"/>
      <c r="E30" s="35" t="s">
        <v>140</v>
      </c>
      <c r="F30" s="35"/>
      <c r="AH30" s="256"/>
      <c r="AI30" s="256"/>
      <c r="AJ30" s="256"/>
      <c r="AK30" s="256"/>
      <c r="AL30" s="256"/>
      <c r="AM30" s="257"/>
    </row>
    <row r="31" spans="1:39" ht="15" thickBot="1" x14ac:dyDescent="0.4">
      <c r="A31" s="118" t="s">
        <v>140</v>
      </c>
      <c r="B31" s="119"/>
      <c r="C31" s="120"/>
      <c r="AH31" s="256"/>
      <c r="AI31" s="256"/>
      <c r="AJ31" s="256"/>
      <c r="AK31" s="256"/>
      <c r="AL31" s="256"/>
      <c r="AM31" s="257"/>
    </row>
    <row r="32" spans="1:39" ht="15" thickBot="1" x14ac:dyDescent="0.4">
      <c r="AH32" s="256"/>
      <c r="AI32" s="256"/>
      <c r="AJ32" s="256"/>
      <c r="AK32" s="256"/>
      <c r="AL32" s="256"/>
      <c r="AM32" s="257"/>
    </row>
    <row r="33" spans="1:39" x14ac:dyDescent="0.35">
      <c r="E33" s="6" t="s">
        <v>609</v>
      </c>
      <c r="F33" s="8"/>
      <c r="G33" s="12" t="s">
        <v>220</v>
      </c>
      <c r="H33" s="12"/>
      <c r="I33" s="12"/>
      <c r="J33" s="12"/>
      <c r="K33" s="12"/>
      <c r="L33" s="12"/>
      <c r="M33" s="12"/>
      <c r="N33" s="12"/>
      <c r="O33" s="12"/>
      <c r="AH33" s="256"/>
      <c r="AI33" s="256"/>
      <c r="AJ33" s="256"/>
      <c r="AK33" s="256"/>
      <c r="AL33" s="256"/>
      <c r="AM33" s="257"/>
    </row>
    <row r="34" spans="1:39" x14ac:dyDescent="0.35">
      <c r="A34" s="140" t="s">
        <v>282</v>
      </c>
      <c r="B34" s="140"/>
      <c r="C34" s="140"/>
      <c r="E34" s="11"/>
      <c r="F34" s="13"/>
      <c r="I34" s="90" t="s">
        <v>193</v>
      </c>
      <c r="J34" s="90" t="s">
        <v>157</v>
      </c>
      <c r="K34" s="90" t="s">
        <v>158</v>
      </c>
      <c r="L34" s="90" t="s">
        <v>195</v>
      </c>
      <c r="M34" s="90" t="s">
        <v>194</v>
      </c>
      <c r="N34" s="90" t="s">
        <v>831</v>
      </c>
      <c r="O34" s="90" t="s">
        <v>832</v>
      </c>
      <c r="AH34" s="256"/>
      <c r="AI34" s="256"/>
      <c r="AJ34" s="256"/>
      <c r="AK34" s="256"/>
      <c r="AL34" s="256"/>
      <c r="AM34" s="257"/>
    </row>
    <row r="35" spans="1:39" x14ac:dyDescent="0.35">
      <c r="A35" s="140"/>
      <c r="B35" s="140"/>
      <c r="C35" s="140"/>
      <c r="E35" s="11" t="s">
        <v>150</v>
      </c>
      <c r="F35" s="13"/>
      <c r="I35" s="88" t="s">
        <v>169</v>
      </c>
      <c r="J35" s="87" t="s">
        <v>166</v>
      </c>
      <c r="K35" s="87" t="s">
        <v>165</v>
      </c>
      <c r="L35" s="220">
        <v>45418.903564814813</v>
      </c>
      <c r="M35" s="213" t="s">
        <v>1668</v>
      </c>
      <c r="N35" s="87" t="s">
        <v>1694</v>
      </c>
      <c r="O35" s="87" t="s">
        <v>208</v>
      </c>
      <c r="AH35" s="256"/>
      <c r="AI35" s="256"/>
      <c r="AJ35" s="256"/>
      <c r="AK35" s="256"/>
      <c r="AL35" s="256"/>
      <c r="AM35" s="257"/>
    </row>
    <row r="36" spans="1:39" x14ac:dyDescent="0.35">
      <c r="A36" s="140" t="s">
        <v>283</v>
      </c>
      <c r="B36" s="140"/>
      <c r="C36" s="140"/>
      <c r="E36" s="11"/>
      <c r="F36" s="13"/>
      <c r="I36" s="88" t="s">
        <v>169</v>
      </c>
      <c r="J36" s="87" t="s">
        <v>166</v>
      </c>
      <c r="K36" s="87" t="s">
        <v>165</v>
      </c>
      <c r="L36" s="193">
        <v>45418.903900462959</v>
      </c>
      <c r="M36" s="87" t="s">
        <v>715</v>
      </c>
      <c r="N36" s="87" t="s">
        <v>1694</v>
      </c>
      <c r="O36" s="87" t="s">
        <v>208</v>
      </c>
      <c r="AH36" s="256"/>
      <c r="AI36" s="256"/>
      <c r="AJ36" s="256"/>
      <c r="AK36" s="256"/>
      <c r="AL36" s="256"/>
      <c r="AM36" s="257"/>
    </row>
    <row r="37" spans="1:39" ht="15" thickBot="1" x14ac:dyDescent="0.4">
      <c r="A37" s="140"/>
      <c r="B37" s="140"/>
      <c r="C37" s="140"/>
      <c r="E37" s="29" t="s">
        <v>140</v>
      </c>
      <c r="F37" s="31"/>
      <c r="I37" s="88" t="s">
        <v>169</v>
      </c>
      <c r="J37" s="87" t="s">
        <v>166</v>
      </c>
      <c r="K37" s="87" t="s">
        <v>165</v>
      </c>
      <c r="L37" s="193">
        <v>45418.90425925926</v>
      </c>
      <c r="M37" s="87" t="s">
        <v>1650</v>
      </c>
      <c r="N37" s="87" t="s">
        <v>1694</v>
      </c>
      <c r="O37" s="87" t="s">
        <v>208</v>
      </c>
      <c r="AH37" s="256"/>
      <c r="AI37" s="256"/>
      <c r="AJ37" s="256"/>
      <c r="AK37" s="256"/>
      <c r="AL37" s="256"/>
      <c r="AM37" s="257"/>
    </row>
    <row r="38" spans="1:39" x14ac:dyDescent="0.35">
      <c r="A38" s="140" t="s">
        <v>140</v>
      </c>
      <c r="B38" s="140"/>
      <c r="C38" s="140"/>
      <c r="I38" s="88" t="s">
        <v>169</v>
      </c>
      <c r="J38" s="87" t="s">
        <v>166</v>
      </c>
      <c r="K38" s="87" t="s">
        <v>165</v>
      </c>
      <c r="L38" s="193">
        <v>45418.904814814814</v>
      </c>
      <c r="M38" s="87" t="s">
        <v>710</v>
      </c>
      <c r="N38" s="87" t="s">
        <v>1694</v>
      </c>
      <c r="O38" s="87" t="s">
        <v>208</v>
      </c>
      <c r="AH38" s="256"/>
      <c r="AI38" s="256"/>
      <c r="AJ38" s="256"/>
      <c r="AK38" s="256"/>
      <c r="AL38" s="256"/>
      <c r="AM38" s="257"/>
    </row>
    <row r="39" spans="1:39" x14ac:dyDescent="0.35">
      <c r="I39" s="87" t="s">
        <v>169</v>
      </c>
      <c r="J39" s="87" t="s">
        <v>166</v>
      </c>
      <c r="K39" s="87" t="s">
        <v>165</v>
      </c>
      <c r="L39" s="193">
        <v>45418.905358796299</v>
      </c>
      <c r="M39" s="87" t="s">
        <v>1651</v>
      </c>
      <c r="N39" s="87" t="s">
        <v>1694</v>
      </c>
      <c r="O39" s="87" t="s">
        <v>208</v>
      </c>
      <c r="AH39" s="256"/>
      <c r="AI39" s="256"/>
      <c r="AJ39" s="256"/>
      <c r="AK39" s="256"/>
      <c r="AL39" s="256"/>
      <c r="AM39" s="257"/>
    </row>
    <row r="40" spans="1:39" x14ac:dyDescent="0.35">
      <c r="I40" s="87"/>
      <c r="J40" s="87"/>
      <c r="K40" s="87"/>
      <c r="L40" s="193"/>
      <c r="M40" s="87"/>
      <c r="N40" s="87" t="s">
        <v>298</v>
      </c>
      <c r="O40" s="87" t="s">
        <v>1669</v>
      </c>
      <c r="AH40" s="256"/>
      <c r="AI40" s="256"/>
      <c r="AJ40" s="256"/>
      <c r="AK40" s="256"/>
      <c r="AL40" s="256"/>
      <c r="AM40" s="257"/>
    </row>
    <row r="41" spans="1:39" x14ac:dyDescent="0.35">
      <c r="A41" s="140" t="s">
        <v>271</v>
      </c>
      <c r="B41" s="140"/>
      <c r="C41" s="140"/>
      <c r="I41" s="87"/>
      <c r="J41" s="87"/>
      <c r="K41" s="87"/>
      <c r="L41" s="193"/>
      <c r="M41" s="87"/>
      <c r="N41" s="87"/>
      <c r="O41" s="87"/>
      <c r="AH41" s="256"/>
      <c r="AI41" s="256"/>
      <c r="AJ41" s="256"/>
      <c r="AK41" s="256"/>
      <c r="AL41" s="256"/>
      <c r="AM41" s="257"/>
    </row>
    <row r="42" spans="1:39" x14ac:dyDescent="0.35">
      <c r="A42" s="140"/>
      <c r="B42" s="140"/>
      <c r="C42" s="140"/>
      <c r="E42" t="s">
        <v>191</v>
      </c>
      <c r="I42" s="87"/>
      <c r="J42" s="87"/>
      <c r="K42" s="87"/>
      <c r="L42" s="193"/>
      <c r="M42" s="87"/>
      <c r="N42" s="87"/>
      <c r="O42" s="87"/>
      <c r="AH42" s="256"/>
      <c r="AI42" s="256"/>
      <c r="AJ42" s="256"/>
      <c r="AK42" s="256"/>
      <c r="AL42" s="256"/>
      <c r="AM42" s="257"/>
    </row>
    <row r="43" spans="1:39" x14ac:dyDescent="0.35">
      <c r="A43" s="140" t="s">
        <v>284</v>
      </c>
      <c r="B43" s="140"/>
      <c r="C43" s="140"/>
      <c r="I43" s="87"/>
      <c r="J43" s="87"/>
      <c r="K43" s="87"/>
      <c r="L43" s="193"/>
      <c r="M43" s="87"/>
      <c r="N43" s="87"/>
      <c r="O43" s="87"/>
      <c r="AH43" s="256"/>
      <c r="AI43" s="256"/>
      <c r="AJ43" s="256"/>
      <c r="AK43" s="256"/>
      <c r="AL43" s="256"/>
      <c r="AM43" s="257"/>
    </row>
    <row r="44" spans="1:39" x14ac:dyDescent="0.35">
      <c r="A44" s="140"/>
      <c r="B44" s="140"/>
      <c r="C44" s="140"/>
      <c r="E44" t="s">
        <v>196</v>
      </c>
      <c r="I44" s="87"/>
      <c r="J44" s="87"/>
      <c r="K44" s="87"/>
      <c r="L44" s="193"/>
      <c r="M44" s="87"/>
      <c r="N44" s="87"/>
      <c r="O44" s="87"/>
      <c r="AH44" s="243"/>
      <c r="AI44" s="243"/>
      <c r="AJ44" s="243"/>
      <c r="AK44" s="243"/>
      <c r="AL44" s="243"/>
      <c r="AM44" s="254"/>
    </row>
    <row r="45" spans="1:39" x14ac:dyDescent="0.35">
      <c r="A45" s="140" t="s">
        <v>285</v>
      </c>
      <c r="B45" s="140"/>
      <c r="C45" s="140"/>
      <c r="E45" t="s">
        <v>192</v>
      </c>
      <c r="I45" s="87"/>
      <c r="J45" s="87"/>
      <c r="K45" s="87"/>
      <c r="L45" s="193"/>
      <c r="M45" s="87"/>
      <c r="N45" s="87"/>
      <c r="O45" s="87"/>
      <c r="AH45" s="243"/>
      <c r="AI45" s="243"/>
      <c r="AJ45" s="243"/>
      <c r="AK45" s="243"/>
      <c r="AL45" s="243"/>
      <c r="AM45" s="244"/>
    </row>
    <row r="46" spans="1:39" x14ac:dyDescent="0.35">
      <c r="A46" s="141" t="s">
        <v>286</v>
      </c>
      <c r="B46" s="140"/>
      <c r="C46" s="140"/>
      <c r="I46" s="87"/>
      <c r="J46" s="87"/>
      <c r="K46" s="87"/>
      <c r="L46" s="193"/>
      <c r="M46" s="87"/>
      <c r="N46" s="87"/>
      <c r="O46" s="87"/>
      <c r="AH46" s="243"/>
      <c r="AI46" s="243"/>
      <c r="AJ46" s="243"/>
      <c r="AK46" s="243"/>
      <c r="AL46" s="243"/>
      <c r="AM46" s="254"/>
    </row>
    <row r="47" spans="1:39" x14ac:dyDescent="0.35">
      <c r="A47" s="140" t="s">
        <v>287</v>
      </c>
      <c r="B47" s="140"/>
      <c r="C47" s="140"/>
      <c r="E47" t="s">
        <v>140</v>
      </c>
      <c r="I47" s="87"/>
      <c r="J47" s="87"/>
      <c r="K47" s="87"/>
      <c r="L47" s="193"/>
      <c r="M47" s="87"/>
      <c r="N47" s="87"/>
      <c r="O47" s="87"/>
      <c r="AH47" s="243"/>
      <c r="AI47" s="243"/>
      <c r="AJ47" s="243"/>
      <c r="AK47" s="243"/>
      <c r="AL47" s="243"/>
      <c r="AM47" s="244"/>
    </row>
    <row r="48" spans="1:39" ht="15" thickBot="1" x14ac:dyDescent="0.4">
      <c r="A48" s="140" t="s">
        <v>288</v>
      </c>
      <c r="B48" s="140"/>
      <c r="C48" s="140"/>
      <c r="I48" s="87"/>
      <c r="J48" s="87"/>
      <c r="K48" s="87"/>
      <c r="L48" s="193"/>
      <c r="M48" s="87"/>
      <c r="N48" s="87"/>
      <c r="O48" s="87"/>
      <c r="AH48" s="243"/>
      <c r="AI48" s="243"/>
      <c r="AJ48" s="243"/>
      <c r="AK48" s="243"/>
      <c r="AL48" s="243"/>
      <c r="AM48" s="244"/>
    </row>
    <row r="49" spans="1:39" ht="15" thickBot="1" x14ac:dyDescent="0.4">
      <c r="A49" s="140"/>
      <c r="B49" s="140"/>
      <c r="C49" s="140"/>
      <c r="E49" s="285" t="s">
        <v>21</v>
      </c>
      <c r="F49" s="286"/>
      <c r="I49" s="87"/>
      <c r="J49" s="87"/>
      <c r="K49" s="87"/>
      <c r="L49" s="193"/>
      <c r="M49" s="87"/>
      <c r="N49" s="87"/>
      <c r="O49" s="87"/>
      <c r="AH49" s="243"/>
      <c r="AI49" s="243"/>
      <c r="AJ49" s="243"/>
      <c r="AK49" s="243"/>
      <c r="AL49" s="243"/>
      <c r="AM49" s="244"/>
    </row>
    <row r="50" spans="1:39" x14ac:dyDescent="0.35">
      <c r="A50" s="140" t="s">
        <v>289</v>
      </c>
      <c r="B50" s="140"/>
      <c r="C50" s="140"/>
      <c r="E50" s="175" t="s">
        <v>547</v>
      </c>
      <c r="F50" s="176"/>
      <c r="AH50" s="243"/>
      <c r="AI50" s="243"/>
      <c r="AJ50" s="243"/>
      <c r="AK50" s="243"/>
      <c r="AL50" s="243"/>
      <c r="AM50" s="244"/>
    </row>
    <row r="51" spans="1:39" x14ac:dyDescent="0.35">
      <c r="A51" s="140" t="s">
        <v>290</v>
      </c>
      <c r="B51" s="140"/>
      <c r="C51" s="140"/>
      <c r="E51" s="177" t="s">
        <v>548</v>
      </c>
      <c r="F51" s="178"/>
      <c r="AH51" s="243"/>
      <c r="AI51" s="243"/>
      <c r="AJ51" s="243"/>
      <c r="AK51" s="243"/>
      <c r="AL51" s="243"/>
      <c r="AM51" s="244"/>
    </row>
    <row r="52" spans="1:39" x14ac:dyDescent="0.35">
      <c r="A52" s="140" t="s">
        <v>291</v>
      </c>
      <c r="B52" s="140"/>
      <c r="C52" s="140"/>
      <c r="E52" s="177"/>
      <c r="F52" s="178"/>
      <c r="AH52" s="243"/>
      <c r="AI52" s="243"/>
      <c r="AJ52" s="243"/>
      <c r="AK52" s="243"/>
      <c r="AL52" s="243"/>
      <c r="AM52" s="244"/>
    </row>
    <row r="53" spans="1:39" x14ac:dyDescent="0.35">
      <c r="A53" s="140" t="s">
        <v>292</v>
      </c>
      <c r="B53" s="140"/>
      <c r="C53" s="140"/>
      <c r="E53" s="177" t="s">
        <v>142</v>
      </c>
      <c r="F53" s="178"/>
      <c r="AH53" s="243"/>
      <c r="AI53" s="243"/>
      <c r="AJ53" s="243"/>
      <c r="AK53" s="243"/>
      <c r="AL53" s="243"/>
      <c r="AM53" s="244"/>
    </row>
    <row r="54" spans="1:39" x14ac:dyDescent="0.35">
      <c r="A54" s="140" t="s">
        <v>293</v>
      </c>
      <c r="B54" s="140"/>
      <c r="C54" s="140"/>
      <c r="E54" s="177"/>
      <c r="F54" s="178"/>
      <c r="AH54" s="243"/>
      <c r="AI54" s="243"/>
      <c r="AJ54" s="243"/>
      <c r="AK54" s="243"/>
      <c r="AL54" s="243"/>
      <c r="AM54" s="244"/>
    </row>
    <row r="55" spans="1:39" x14ac:dyDescent="0.35">
      <c r="A55" s="141" t="s">
        <v>294</v>
      </c>
      <c r="B55" s="140"/>
      <c r="C55" s="140"/>
      <c r="E55" s="177" t="s">
        <v>147</v>
      </c>
      <c r="F55" s="178"/>
      <c r="AH55" s="243"/>
      <c r="AI55" s="243"/>
      <c r="AJ55" s="243"/>
      <c r="AK55" s="243"/>
      <c r="AL55" s="243"/>
      <c r="AM55" s="244"/>
    </row>
    <row r="56" spans="1:39" x14ac:dyDescent="0.35">
      <c r="A56" s="140"/>
      <c r="B56" s="140"/>
      <c r="C56" s="140"/>
      <c r="E56" s="177"/>
      <c r="F56" s="178"/>
      <c r="AH56" s="243"/>
      <c r="AI56" s="243"/>
      <c r="AJ56" s="243"/>
      <c r="AK56" s="243"/>
      <c r="AL56" s="243"/>
      <c r="AM56" s="244"/>
    </row>
    <row r="57" spans="1:39" ht="15" thickBot="1" x14ac:dyDescent="0.4">
      <c r="A57" s="140" t="s">
        <v>295</v>
      </c>
      <c r="B57" s="140"/>
      <c r="C57" s="140"/>
      <c r="E57" s="179" t="s">
        <v>140</v>
      </c>
      <c r="F57" s="180"/>
      <c r="AH57" s="243"/>
      <c r="AI57" s="243"/>
      <c r="AJ57" s="243"/>
      <c r="AK57" s="243"/>
      <c r="AL57" s="243"/>
      <c r="AM57" s="244"/>
    </row>
    <row r="58" spans="1:39" x14ac:dyDescent="0.35">
      <c r="AH58" s="243"/>
      <c r="AI58" s="243"/>
      <c r="AJ58" s="243"/>
      <c r="AK58" s="243"/>
      <c r="AL58" s="243"/>
      <c r="AM58" s="244"/>
    </row>
    <row r="59" spans="1:39" ht="15" thickBot="1" x14ac:dyDescent="0.4">
      <c r="AH59" s="243"/>
      <c r="AI59" s="243"/>
      <c r="AJ59" s="243"/>
      <c r="AK59" s="243"/>
      <c r="AL59" s="243"/>
      <c r="AM59" s="244"/>
    </row>
    <row r="60" spans="1:39" ht="15" thickBot="1" x14ac:dyDescent="0.4">
      <c r="A60" t="s">
        <v>242</v>
      </c>
      <c r="E60" s="287" t="s">
        <v>622</v>
      </c>
      <c r="F60" s="288"/>
      <c r="AH60" s="243"/>
      <c r="AI60" s="243"/>
      <c r="AJ60" s="243"/>
      <c r="AK60" s="243"/>
      <c r="AL60" s="243"/>
      <c r="AM60" s="244"/>
    </row>
    <row r="61" spans="1:39" x14ac:dyDescent="0.35">
      <c r="E61" s="206" t="s">
        <v>226</v>
      </c>
      <c r="F61" s="207"/>
      <c r="AH61" s="243"/>
      <c r="AI61" s="243"/>
      <c r="AJ61" s="243"/>
      <c r="AK61" s="243"/>
      <c r="AL61" s="243"/>
      <c r="AM61" s="244"/>
    </row>
    <row r="62" spans="1:39" x14ac:dyDescent="0.35">
      <c r="A62" t="s">
        <v>243</v>
      </c>
      <c r="E62" s="208"/>
      <c r="F62" s="209"/>
      <c r="AH62" s="243"/>
      <c r="AI62" s="243"/>
      <c r="AJ62" s="243"/>
      <c r="AK62" s="243"/>
      <c r="AL62" s="243"/>
      <c r="AM62" s="244"/>
    </row>
    <row r="63" spans="1:39" x14ac:dyDescent="0.35">
      <c r="A63" t="s">
        <v>244</v>
      </c>
      <c r="C63" t="s">
        <v>280</v>
      </c>
      <c r="E63" s="208" t="s">
        <v>623</v>
      </c>
      <c r="F63" s="209"/>
    </row>
    <row r="64" spans="1:39" x14ac:dyDescent="0.35">
      <c r="A64" t="s">
        <v>245</v>
      </c>
      <c r="E64" s="208" t="s">
        <v>142</v>
      </c>
      <c r="F64" s="209"/>
    </row>
    <row r="65" spans="1:6" x14ac:dyDescent="0.35">
      <c r="A65" t="s">
        <v>246</v>
      </c>
      <c r="C65" t="s">
        <v>281</v>
      </c>
      <c r="E65" s="208"/>
      <c r="F65" s="209"/>
    </row>
    <row r="66" spans="1:6" x14ac:dyDescent="0.35">
      <c r="E66" s="208" t="s">
        <v>147</v>
      </c>
      <c r="F66" s="209"/>
    </row>
    <row r="67" spans="1:6" x14ac:dyDescent="0.35">
      <c r="A67" s="95" t="s">
        <v>129</v>
      </c>
      <c r="C67" t="s">
        <v>235</v>
      </c>
      <c r="E67" s="208"/>
      <c r="F67" s="209"/>
    </row>
    <row r="68" spans="1:6" ht="15" thickBot="1" x14ac:dyDescent="0.4">
      <c r="A68" s="94"/>
      <c r="E68" s="210" t="s">
        <v>140</v>
      </c>
      <c r="F68" s="211"/>
    </row>
    <row r="69" spans="1:6" x14ac:dyDescent="0.35">
      <c r="A69" s="95" t="s">
        <v>232</v>
      </c>
    </row>
    <row r="70" spans="1:6" x14ac:dyDescent="0.35">
      <c r="A70" s="95" t="s">
        <v>233</v>
      </c>
      <c r="C70" s="181" t="s">
        <v>549</v>
      </c>
      <c r="D70" s="136"/>
    </row>
    <row r="71" spans="1:6" x14ac:dyDescent="0.35">
      <c r="A71" s="95"/>
      <c r="C71" s="181" t="s">
        <v>550</v>
      </c>
      <c r="D71" s="136"/>
    </row>
    <row r="72" spans="1:6" x14ac:dyDescent="0.35">
      <c r="A72" s="96" t="s">
        <v>234</v>
      </c>
      <c r="C72" s="181" t="s">
        <v>551</v>
      </c>
      <c r="D72" s="136"/>
    </row>
    <row r="73" spans="1:6" x14ac:dyDescent="0.35">
      <c r="A73" s="97"/>
      <c r="C73" s="181"/>
      <c r="D73" s="136"/>
    </row>
    <row r="74" spans="1:6" x14ac:dyDescent="0.35">
      <c r="A74" s="96" t="s">
        <v>235</v>
      </c>
      <c r="C74" s="182" t="s">
        <v>554</v>
      </c>
      <c r="D74" s="136" t="s">
        <v>555</v>
      </c>
    </row>
    <row r="75" spans="1:6" x14ac:dyDescent="0.35">
      <c r="C75" s="183" t="s">
        <v>556</v>
      </c>
      <c r="D75" s="184" t="s">
        <v>557</v>
      </c>
    </row>
    <row r="76" spans="1:6" x14ac:dyDescent="0.35">
      <c r="C76" s="182" t="s">
        <v>558</v>
      </c>
      <c r="D76" s="136" t="s">
        <v>559</v>
      </c>
    </row>
    <row r="77" spans="1:6" x14ac:dyDescent="0.35">
      <c r="A77" s="94" t="s">
        <v>236</v>
      </c>
      <c r="C77" s="181"/>
      <c r="D77" s="136"/>
    </row>
    <row r="78" spans="1:6" x14ac:dyDescent="0.35">
      <c r="A78" s="94"/>
      <c r="C78" s="181" t="s">
        <v>552</v>
      </c>
      <c r="D78" s="136"/>
    </row>
    <row r="79" spans="1:6" x14ac:dyDescent="0.35">
      <c r="A79" s="94" t="s">
        <v>237</v>
      </c>
      <c r="C79" s="181" t="s">
        <v>274</v>
      </c>
      <c r="D79" s="136"/>
    </row>
    <row r="80" spans="1:6" x14ac:dyDescent="0.35">
      <c r="A80" s="94" t="s">
        <v>238</v>
      </c>
      <c r="C80" s="181"/>
      <c r="D80" s="136"/>
    </row>
    <row r="81" spans="1:4" x14ac:dyDescent="0.35">
      <c r="A81" s="94"/>
      <c r="C81" s="181" t="s">
        <v>553</v>
      </c>
      <c r="D81" s="136"/>
    </row>
    <row r="82" spans="1:4" x14ac:dyDescent="0.35">
      <c r="A82" s="94" t="s">
        <v>140</v>
      </c>
      <c r="C82" s="181"/>
      <c r="D82" s="136"/>
    </row>
    <row r="83" spans="1:4" x14ac:dyDescent="0.35">
      <c r="C83" s="181" t="s">
        <v>140</v>
      </c>
      <c r="D83" s="136"/>
    </row>
    <row r="86" spans="1:4" ht="15" thickBot="1" x14ac:dyDescent="0.4"/>
    <row r="87" spans="1:4" x14ac:dyDescent="0.35">
      <c r="C87" s="221" t="s">
        <v>811</v>
      </c>
    </row>
    <row r="88" spans="1:4" x14ac:dyDescent="0.35">
      <c r="C88" s="222"/>
    </row>
    <row r="89" spans="1:4" x14ac:dyDescent="0.35">
      <c r="C89" s="222" t="s">
        <v>812</v>
      </c>
    </row>
    <row r="90" spans="1:4" x14ac:dyDescent="0.35">
      <c r="C90" s="222" t="s">
        <v>813</v>
      </c>
    </row>
    <row r="91" spans="1:4" x14ac:dyDescent="0.35">
      <c r="C91" s="222" t="s">
        <v>814</v>
      </c>
    </row>
    <row r="92" spans="1:4" x14ac:dyDescent="0.35">
      <c r="C92" s="222" t="s">
        <v>815</v>
      </c>
    </row>
    <row r="93" spans="1:4" x14ac:dyDescent="0.35">
      <c r="C93" s="222" t="s">
        <v>816</v>
      </c>
    </row>
    <row r="94" spans="1:4" x14ac:dyDescent="0.35">
      <c r="C94" s="222"/>
    </row>
    <row r="95" spans="1:4" x14ac:dyDescent="0.35">
      <c r="C95" s="222" t="s">
        <v>817</v>
      </c>
    </row>
    <row r="96" spans="1:4" x14ac:dyDescent="0.35">
      <c r="C96" s="222"/>
    </row>
    <row r="97" spans="3:3" ht="15" thickBot="1" x14ac:dyDescent="0.4">
      <c r="C97" s="223" t="s">
        <v>235</v>
      </c>
    </row>
  </sheetData>
  <mergeCells count="4">
    <mergeCell ref="AE2:AE9"/>
    <mergeCell ref="B8:C13"/>
    <mergeCell ref="E49:F49"/>
    <mergeCell ref="E60:F60"/>
  </mergeCells>
  <conditionalFormatting sqref="AI1:AI1048576">
    <cfRule type="duplicateValues" dxfId="2" priority="1"/>
  </conditionalFormatting>
  <hyperlinks>
    <hyperlink ref="C75" r:id="rId1" display="mailto:PPGBSPaudit@palawanpawnshop.com" xr:uid="{94CB05D1-0577-4F15-BB9F-400ED778B224}"/>
    <hyperlink ref="D75" r:id="rId2" xr:uid="{7BA17AA7-24A4-4A52-92AF-2E40FB38176E}"/>
  </hyperlinks>
  <pageMargins left="0.7" right="0.7" top="0.75" bottom="0.75" header="0.3" footer="0.3"/>
  <pageSetup orientation="portrait" horizontalDpi="1200" verticalDpi="1200"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8D8CF-6DC1-4DC2-98C8-A3E071B6EC73}">
  <sheetPr codeName="Sheet18"/>
  <dimension ref="A1:N10"/>
  <sheetViews>
    <sheetView workbookViewId="0">
      <pane ySplit="1" topLeftCell="A2" activePane="bottomLeft" state="frozen"/>
      <selection pane="bottomLeft" activeCell="M2" sqref="M2:M10"/>
    </sheetView>
  </sheetViews>
  <sheetFormatPr defaultRowHeight="14.5" x14ac:dyDescent="0.35"/>
  <cols>
    <col min="1" max="1" width="13.08984375" bestFit="1" customWidth="1"/>
    <col min="2" max="2" width="23.6328125" bestFit="1" customWidth="1"/>
    <col min="3" max="3" width="9" bestFit="1" customWidth="1"/>
    <col min="4" max="4" width="15.7265625" bestFit="1" customWidth="1"/>
    <col min="5" max="5" width="4.6328125" bestFit="1" customWidth="1"/>
    <col min="6" max="6" width="11.08984375" bestFit="1" customWidth="1"/>
    <col min="7" max="7" width="5.90625" bestFit="1" customWidth="1"/>
    <col min="8" max="8" width="6.1796875" bestFit="1" customWidth="1"/>
    <col min="9" max="9" width="6.90625" bestFit="1" customWidth="1"/>
    <col min="10" max="10" width="20.1796875" bestFit="1" customWidth="1"/>
    <col min="13" max="13" width="29.08984375" customWidth="1"/>
  </cols>
  <sheetData>
    <row r="1" spans="1:14" ht="15" thickBot="1" x14ac:dyDescent="0.4">
      <c r="A1" s="14" t="s">
        <v>612</v>
      </c>
      <c r="B1" s="15" t="s">
        <v>613</v>
      </c>
      <c r="C1" s="16" t="s">
        <v>614</v>
      </c>
      <c r="D1" s="16" t="s">
        <v>615</v>
      </c>
      <c r="E1" s="16" t="s">
        <v>616</v>
      </c>
      <c r="F1" s="16" t="s">
        <v>617</v>
      </c>
      <c r="G1" s="16" t="s">
        <v>618</v>
      </c>
      <c r="H1" s="16" t="s">
        <v>619</v>
      </c>
      <c r="I1" s="16" t="s">
        <v>620</v>
      </c>
      <c r="J1" s="16" t="s">
        <v>621</v>
      </c>
      <c r="M1" s="287" t="s">
        <v>622</v>
      </c>
      <c r="N1" s="288"/>
    </row>
    <row r="2" spans="1:14" x14ac:dyDescent="0.35">
      <c r="M2" s="206" t="s">
        <v>226</v>
      </c>
      <c r="N2" s="207"/>
    </row>
    <row r="3" spans="1:14" x14ac:dyDescent="0.35">
      <c r="M3" s="208"/>
      <c r="N3" s="209"/>
    </row>
    <row r="4" spans="1:14" x14ac:dyDescent="0.35">
      <c r="M4" s="208" t="s">
        <v>623</v>
      </c>
      <c r="N4" s="209"/>
    </row>
    <row r="5" spans="1:14" x14ac:dyDescent="0.35">
      <c r="M5" s="208" t="s">
        <v>142</v>
      </c>
      <c r="N5" s="209"/>
    </row>
    <row r="6" spans="1:14" x14ac:dyDescent="0.35">
      <c r="M6" s="208" t="s">
        <v>624</v>
      </c>
      <c r="N6" s="209"/>
    </row>
    <row r="7" spans="1:14" x14ac:dyDescent="0.35">
      <c r="M7" s="208"/>
      <c r="N7" s="209"/>
    </row>
    <row r="8" spans="1:14" x14ac:dyDescent="0.35">
      <c r="M8" s="208" t="s">
        <v>147</v>
      </c>
      <c r="N8" s="209"/>
    </row>
    <row r="9" spans="1:14" x14ac:dyDescent="0.35">
      <c r="M9" s="208"/>
      <c r="N9" s="209"/>
    </row>
    <row r="10" spans="1:14" ht="15" thickBot="1" x14ac:dyDescent="0.4">
      <c r="M10" s="210" t="s">
        <v>140</v>
      </c>
      <c r="N10" s="211"/>
    </row>
  </sheetData>
  <mergeCells count="1">
    <mergeCell ref="M1:N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53B45-805E-412C-A187-5B4CA7BF66E0}">
  <sheetPr codeName="Sheet23">
    <tabColor rgb="FFFF0000"/>
  </sheetPr>
  <dimension ref="A1:R8"/>
  <sheetViews>
    <sheetView zoomScale="90" zoomScaleNormal="90" workbookViewId="0">
      <pane xSplit="2" ySplit="1" topLeftCell="C2" activePane="bottomRight" state="frozen"/>
      <selection pane="topRight" activeCell="C1" sqref="C1"/>
      <selection pane="bottomLeft" activeCell="A2" sqref="A2"/>
      <selection pane="bottomRight" activeCell="A2" sqref="A2:XFD2"/>
    </sheetView>
  </sheetViews>
  <sheetFormatPr defaultRowHeight="14.5" x14ac:dyDescent="0.35"/>
  <cols>
    <col min="1" max="1" width="14.54296875" bestFit="1" customWidth="1"/>
    <col min="2" max="2" width="17.453125" customWidth="1"/>
    <col min="3" max="3" width="17.08984375" bestFit="1" customWidth="1"/>
    <col min="4" max="4" width="32.26953125" bestFit="1" customWidth="1"/>
    <col min="5" max="5" width="37.7265625" bestFit="1" customWidth="1"/>
    <col min="6" max="6" width="17.1796875" bestFit="1" customWidth="1"/>
    <col min="7" max="7" width="11.81640625" customWidth="1"/>
    <col min="8" max="8" width="16.08984375" bestFit="1" customWidth="1"/>
  </cols>
  <sheetData>
    <row r="1" spans="1:18" x14ac:dyDescent="0.35">
      <c r="A1" s="191" t="s">
        <v>872</v>
      </c>
      <c r="B1" s="191" t="s">
        <v>154</v>
      </c>
      <c r="C1" s="191" t="s">
        <v>873</v>
      </c>
      <c r="D1" s="238" t="s">
        <v>874</v>
      </c>
      <c r="E1" s="238" t="s">
        <v>875</v>
      </c>
      <c r="F1" s="191" t="s">
        <v>876</v>
      </c>
      <c r="G1" s="191" t="s">
        <v>877</v>
      </c>
      <c r="H1" s="239" t="s">
        <v>878</v>
      </c>
    </row>
    <row r="2" spans="1:18" x14ac:dyDescent="0.35">
      <c r="A2" s="189"/>
    </row>
    <row r="3" spans="1:18" x14ac:dyDescent="0.35">
      <c r="R3" t="s">
        <v>1648</v>
      </c>
    </row>
    <row r="4" spans="1:18" x14ac:dyDescent="0.35">
      <c r="R4" t="s">
        <v>1648</v>
      </c>
    </row>
    <row r="5" spans="1:18" x14ac:dyDescent="0.35">
      <c r="R5" t="s">
        <v>1648</v>
      </c>
    </row>
    <row r="6" spans="1:18" x14ac:dyDescent="0.35">
      <c r="R6" t="s">
        <v>1648</v>
      </c>
    </row>
    <row r="7" spans="1:18" x14ac:dyDescent="0.35">
      <c r="R7" t="s">
        <v>1648</v>
      </c>
    </row>
    <row r="8" spans="1:18" x14ac:dyDescent="0.35">
      <c r="R8" t="s">
        <v>1648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7C19F-BA60-410B-8B0F-24DBE3479883}">
  <sheetPr codeName="Sheet2">
    <tabColor theme="4" tint="-0.249977111117893"/>
  </sheetPr>
  <dimension ref="A1:J1"/>
  <sheetViews>
    <sheetView zoomScale="80" zoomScaleNormal="80" workbookViewId="0">
      <pane ySplit="1" topLeftCell="A2" activePane="bottomLeft" state="frozen"/>
      <selection pane="bottomLeft" activeCell="A2" sqref="A2"/>
    </sheetView>
  </sheetViews>
  <sheetFormatPr defaultRowHeight="14.5" x14ac:dyDescent="0.35"/>
  <cols>
    <col min="1" max="1" width="14.453125" customWidth="1"/>
    <col min="2" max="2" width="42.26953125" customWidth="1"/>
    <col min="4" max="4" width="18.453125" customWidth="1"/>
    <col min="5" max="5" width="36.6328125" customWidth="1"/>
    <col min="6" max="6" width="14.08984375" customWidth="1"/>
    <col min="7" max="7" width="10.90625" customWidth="1"/>
    <col min="8" max="8" width="11.36328125" customWidth="1"/>
    <col min="9" max="9" width="27.7265625" customWidth="1"/>
    <col min="10" max="10" width="37.1796875" customWidth="1"/>
  </cols>
  <sheetData>
    <row r="1" spans="1:10" x14ac:dyDescent="0.35">
      <c r="A1" s="65" t="s">
        <v>0</v>
      </c>
      <c r="B1" s="59" t="s">
        <v>1</v>
      </c>
      <c r="C1" s="63" t="s">
        <v>2</v>
      </c>
      <c r="D1" s="60" t="s">
        <v>3</v>
      </c>
      <c r="E1" s="59" t="s">
        <v>4</v>
      </c>
      <c r="F1" s="62" t="s">
        <v>5</v>
      </c>
      <c r="G1" s="63" t="s">
        <v>6</v>
      </c>
      <c r="H1" s="62" t="s">
        <v>7</v>
      </c>
      <c r="I1" s="60" t="s">
        <v>8</v>
      </c>
      <c r="J1" s="60" t="s">
        <v>9</v>
      </c>
    </row>
  </sheetData>
  <autoFilter ref="A1:J3016" xr:uid="{5807C19F-BA60-410B-8B0F-24DBE3479883}"/>
  <conditionalFormatting sqref="G1 G1048576">
    <cfRule type="containsText" dxfId="1" priority="7" operator="containsText" text="Malicious">
      <formula>NOT(ISERROR(SEARCH("Malicious",G1)))</formula>
    </cfRule>
  </conditionalFormatting>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C7ED0-F8DE-451E-A968-C5D5979946F4}">
  <sheetPr codeName="Sheet22"/>
  <dimension ref="A1:O1"/>
  <sheetViews>
    <sheetView zoomScale="80" zoomScaleNormal="80" workbookViewId="0">
      <pane xSplit="3" ySplit="1" topLeftCell="H2147" activePane="bottomRight" state="frozen"/>
      <selection pane="topRight" activeCell="D1" sqref="D1"/>
      <selection pane="bottomLeft" activeCell="A2" sqref="A2"/>
      <selection pane="bottomRight" activeCell="M2156" sqref="M2156"/>
    </sheetView>
  </sheetViews>
  <sheetFormatPr defaultRowHeight="14.5" x14ac:dyDescent="0.35"/>
  <cols>
    <col min="1" max="1" width="17.453125" customWidth="1"/>
    <col min="2" max="2" width="17" customWidth="1"/>
    <col min="3" max="3" width="14" bestFit="1" customWidth="1"/>
    <col min="4" max="4" width="13.6328125" customWidth="1"/>
    <col min="5" max="6" width="14.81640625" customWidth="1"/>
    <col min="7" max="7" width="25.453125" customWidth="1"/>
    <col min="8" max="8" width="62.81640625" customWidth="1"/>
    <col min="9" max="9" width="15.08984375" customWidth="1"/>
    <col min="10" max="10" width="14.7265625" customWidth="1"/>
    <col min="11" max="11" width="10.453125" customWidth="1"/>
    <col min="12" max="13" width="11.90625" customWidth="1"/>
    <col min="14" max="14" width="20" customWidth="1"/>
    <col min="15" max="15" width="11" bestFit="1" customWidth="1"/>
  </cols>
  <sheetData>
    <row r="1" spans="1:15" x14ac:dyDescent="0.35">
      <c r="A1" s="191" t="s">
        <v>868</v>
      </c>
      <c r="B1" s="191" t="s">
        <v>867</v>
      </c>
      <c r="C1" s="191" t="s">
        <v>866</v>
      </c>
      <c r="D1" s="237" t="s">
        <v>865</v>
      </c>
      <c r="E1" s="237" t="s">
        <v>864</v>
      </c>
      <c r="F1" s="237" t="s">
        <v>863</v>
      </c>
      <c r="G1" s="237" t="s">
        <v>211</v>
      </c>
      <c r="H1" s="237" t="s">
        <v>926</v>
      </c>
      <c r="I1" s="237" t="s">
        <v>862</v>
      </c>
      <c r="J1" s="237" t="s">
        <v>861</v>
      </c>
      <c r="K1" s="74" t="s">
        <v>869</v>
      </c>
      <c r="L1" s="74" t="s">
        <v>870</v>
      </c>
      <c r="M1" s="240" t="s">
        <v>925</v>
      </c>
      <c r="N1" s="237" t="s">
        <v>871</v>
      </c>
      <c r="O1" s="237" t="s">
        <v>630</v>
      </c>
    </row>
  </sheetData>
  <autoFilter ref="A1:O2659" xr:uid="{2F9C7ED0-F8DE-451E-A968-C5D5979946F4}"/>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4435F-E01E-4522-85A4-6AFF0151729E}">
  <sheetPr codeName="Sheet17"/>
  <dimension ref="A1:L2"/>
  <sheetViews>
    <sheetView workbookViewId="0">
      <pane xSplit="1" ySplit="2" topLeftCell="B96" activePane="bottomRight" state="frozen"/>
      <selection pane="topRight" activeCell="B1" sqref="B1"/>
      <selection pane="bottomLeft" activeCell="A3" sqref="A3"/>
      <selection pane="bottomRight" activeCell="H113" sqref="H113"/>
    </sheetView>
  </sheetViews>
  <sheetFormatPr defaultRowHeight="14.5" x14ac:dyDescent="0.35"/>
  <cols>
    <col min="1" max="1" width="24.1796875" customWidth="1"/>
    <col min="2" max="3" width="16.36328125" customWidth="1"/>
    <col min="4" max="4" width="8" bestFit="1" customWidth="1"/>
    <col min="5" max="5" width="9.81640625" bestFit="1" customWidth="1"/>
    <col min="6" max="6" width="12.1796875" bestFit="1" customWidth="1"/>
    <col min="7" max="7" width="13.90625" bestFit="1" customWidth="1"/>
    <col min="8" max="8" width="40.36328125" customWidth="1"/>
    <col min="9" max="9" width="17.1796875" customWidth="1"/>
    <col min="10" max="10" width="26.90625" bestFit="1" customWidth="1"/>
    <col min="11" max="11" width="13.26953125" customWidth="1"/>
    <col min="12" max="12" width="13.6328125" bestFit="1" customWidth="1"/>
    <col min="14" max="14" width="10.453125" bestFit="1" customWidth="1"/>
  </cols>
  <sheetData>
    <row r="1" spans="1:12" x14ac:dyDescent="0.35">
      <c r="A1" s="190" t="s">
        <v>152</v>
      </c>
      <c r="B1" s="289" t="s">
        <v>153</v>
      </c>
      <c r="C1" s="290"/>
      <c r="D1" s="290"/>
      <c r="E1" s="290"/>
      <c r="F1" s="290"/>
      <c r="G1" s="290"/>
      <c r="H1" s="290"/>
      <c r="I1" s="188"/>
    </row>
    <row r="2" spans="1:12" x14ac:dyDescent="0.35">
      <c r="A2" s="191" t="s">
        <v>136</v>
      </c>
      <c r="B2" s="38" t="s">
        <v>575</v>
      </c>
      <c r="C2" s="38" t="s">
        <v>576</v>
      </c>
      <c r="D2" s="38" t="s">
        <v>577</v>
      </c>
      <c r="E2" s="74" t="s">
        <v>578</v>
      </c>
      <c r="F2" s="74" t="s">
        <v>581</v>
      </c>
      <c r="G2" s="74" t="s">
        <v>580</v>
      </c>
      <c r="H2" s="74" t="s">
        <v>579</v>
      </c>
      <c r="I2" s="39" t="s">
        <v>582</v>
      </c>
      <c r="J2" s="39" t="s">
        <v>154</v>
      </c>
      <c r="K2" s="39" t="s">
        <v>608</v>
      </c>
      <c r="L2" s="39" t="s">
        <v>605</v>
      </c>
    </row>
  </sheetData>
  <autoFilter ref="A2:L2" xr:uid="{6344435F-E01E-4522-85A4-6AFF0151729E}"/>
  <mergeCells count="1">
    <mergeCell ref="B1:H1"/>
  </mergeCells>
  <phoneticPr fontId="26" type="noConversion"/>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49896-7691-42DC-A29D-6FB37D20186E}">
  <sheetPr codeName="Sheet5">
    <tabColor theme="9" tint="0.59999389629810485"/>
  </sheetPr>
  <dimension ref="A1:N111"/>
  <sheetViews>
    <sheetView zoomScale="62" zoomScaleNormal="62" workbookViewId="0">
      <pane xSplit="3" ySplit="2" topLeftCell="H235" activePane="bottomRight" state="frozen"/>
      <selection pane="topRight" activeCell="D1" sqref="D1"/>
      <selection pane="bottomLeft" activeCell="A3" sqref="A3"/>
      <selection pane="bottomRight" activeCell="K253" sqref="K253:K254"/>
    </sheetView>
  </sheetViews>
  <sheetFormatPr defaultRowHeight="14.5" x14ac:dyDescent="0.35"/>
  <cols>
    <col min="1" max="1" width="11.6328125" customWidth="1"/>
    <col min="2" max="2" width="38.7265625" customWidth="1"/>
    <col min="3" max="3" width="41" customWidth="1"/>
    <col min="4" max="4" width="13.81640625" customWidth="1"/>
    <col min="5" max="5" width="18.26953125" customWidth="1"/>
    <col min="6" max="6" width="15.54296875" customWidth="1"/>
    <col min="7" max="7" width="22.08984375" customWidth="1"/>
    <col min="8" max="8" width="33.54296875" bestFit="1" customWidth="1"/>
    <col min="9" max="9" width="13.6328125" customWidth="1"/>
    <col min="10" max="10" width="25.54296875" customWidth="1"/>
    <col min="11" max="11" width="15.54296875" customWidth="1"/>
    <col min="12" max="13" width="12.36328125" customWidth="1"/>
    <col min="14" max="14" width="56.81640625" customWidth="1"/>
  </cols>
  <sheetData>
    <row r="1" spans="1:14" x14ac:dyDescent="0.35">
      <c r="A1" s="291" t="s">
        <v>152</v>
      </c>
      <c r="B1" s="291"/>
      <c r="C1" s="291"/>
      <c r="D1" s="292" t="s">
        <v>153</v>
      </c>
      <c r="E1" s="292"/>
      <c r="F1" s="292"/>
      <c r="G1" s="292"/>
      <c r="H1" s="292"/>
      <c r="I1" s="292"/>
      <c r="J1" s="292"/>
      <c r="K1" s="293" t="s">
        <v>154</v>
      </c>
      <c r="L1" s="292" t="s">
        <v>136</v>
      </c>
      <c r="M1" s="292"/>
      <c r="N1" s="293" t="s">
        <v>9</v>
      </c>
    </row>
    <row r="2" spans="1:14" x14ac:dyDescent="0.35">
      <c r="A2" s="36" t="s">
        <v>136</v>
      </c>
      <c r="B2" s="37" t="s">
        <v>155</v>
      </c>
      <c r="C2" s="37" t="s">
        <v>145</v>
      </c>
      <c r="D2" s="38" t="s">
        <v>156</v>
      </c>
      <c r="E2" s="38" t="s">
        <v>157</v>
      </c>
      <c r="F2" s="38" t="s">
        <v>158</v>
      </c>
      <c r="G2" s="74" t="s">
        <v>159</v>
      </c>
      <c r="H2" s="38" t="s">
        <v>160</v>
      </c>
      <c r="I2" s="38" t="s">
        <v>161</v>
      </c>
      <c r="J2" s="38" t="s">
        <v>162</v>
      </c>
      <c r="K2" s="293"/>
      <c r="L2" s="38" t="s">
        <v>163</v>
      </c>
      <c r="M2" s="38" t="s">
        <v>164</v>
      </c>
      <c r="N2" s="293"/>
    </row>
    <row r="13" spans="1:14" ht="65" customHeight="1" x14ac:dyDescent="0.35"/>
    <row r="30" ht="52" customHeight="1" x14ac:dyDescent="0.35"/>
    <row r="35" ht="52" customHeight="1" x14ac:dyDescent="0.35"/>
    <row r="59" ht="39" customHeight="1" x14ac:dyDescent="0.35"/>
    <row r="111" ht="39" customHeight="1" x14ac:dyDescent="0.35"/>
  </sheetData>
  <mergeCells count="5">
    <mergeCell ref="A1:C1"/>
    <mergeCell ref="D1:J1"/>
    <mergeCell ref="K1:K2"/>
    <mergeCell ref="L1:M1"/>
    <mergeCell ref="N1:N2"/>
  </mergeCells>
  <phoneticPr fontId="26" type="noConversion"/>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F5200-43B3-4C88-9CBA-A0DC58F4F1E6}">
  <sheetPr codeName="Sheet26">
    <tabColor rgb="FF00B0F0"/>
  </sheetPr>
  <dimension ref="A1:Z45"/>
  <sheetViews>
    <sheetView tabSelected="1" workbookViewId="0">
      <pane ySplit="1" topLeftCell="A123" activePane="bottomLeft" state="frozen"/>
      <selection pane="bottomLeft" activeCell="H127" sqref="H127"/>
    </sheetView>
  </sheetViews>
  <sheetFormatPr defaultRowHeight="14.5" x14ac:dyDescent="0.35"/>
  <cols>
    <col min="1" max="1" width="13.7265625" customWidth="1"/>
    <col min="2" max="2" width="16.453125" customWidth="1"/>
    <col min="3" max="3" width="13.6328125" customWidth="1"/>
    <col min="4" max="4" width="12.90625" customWidth="1"/>
    <col min="5" max="6" width="9.6328125" customWidth="1"/>
    <col min="7" max="7" width="12.1796875" bestFit="1" customWidth="1"/>
    <col min="8" max="8" width="10.6328125" bestFit="1" customWidth="1"/>
    <col min="9" max="9" width="11.26953125" bestFit="1" customWidth="1"/>
    <col min="10" max="10" width="12.453125" bestFit="1" customWidth="1"/>
    <col min="11" max="11" width="29.1796875" customWidth="1"/>
  </cols>
  <sheetData>
    <row r="1" spans="1:12" x14ac:dyDescent="0.35">
      <c r="A1" s="250" t="s">
        <v>0</v>
      </c>
      <c r="B1" s="252" t="s">
        <v>927</v>
      </c>
      <c r="C1" s="252" t="s">
        <v>225</v>
      </c>
      <c r="D1" s="253" t="s">
        <v>928</v>
      </c>
      <c r="E1" s="252" t="s">
        <v>211</v>
      </c>
      <c r="F1" s="252" t="s">
        <v>929</v>
      </c>
      <c r="G1" s="250" t="s">
        <v>5</v>
      </c>
      <c r="H1" s="250" t="s">
        <v>6</v>
      </c>
      <c r="I1" s="250" t="s">
        <v>7</v>
      </c>
      <c r="J1" s="250" t="s">
        <v>8</v>
      </c>
      <c r="K1" s="250" t="s">
        <v>9</v>
      </c>
      <c r="L1" s="58"/>
    </row>
    <row r="43" spans="1:26" s="58" customFormat="1" x14ac:dyDescent="0.35">
      <c r="A43"/>
      <c r="B43"/>
      <c r="C43"/>
      <c r="D43"/>
      <c r="E43"/>
      <c r="F43"/>
      <c r="G43"/>
      <c r="H43"/>
      <c r="I43"/>
      <c r="J43"/>
      <c r="K43"/>
      <c r="L43"/>
      <c r="M43"/>
      <c r="N43"/>
      <c r="O43"/>
      <c r="P43"/>
      <c r="Q43"/>
      <c r="R43"/>
      <c r="S43"/>
      <c r="T43"/>
      <c r="U43"/>
      <c r="V43"/>
      <c r="W43"/>
      <c r="X43"/>
      <c r="Y43"/>
      <c r="Z43"/>
    </row>
    <row r="44" spans="1:26" s="58" customFormat="1" x14ac:dyDescent="0.35">
      <c r="A44"/>
      <c r="B44"/>
      <c r="C44"/>
      <c r="D44"/>
      <c r="E44"/>
      <c r="F44"/>
      <c r="G44"/>
      <c r="H44"/>
      <c r="I44"/>
      <c r="J44"/>
      <c r="K44"/>
      <c r="L44"/>
      <c r="M44"/>
      <c r="N44"/>
      <c r="O44"/>
      <c r="P44"/>
      <c r="Q44"/>
      <c r="R44"/>
      <c r="S44"/>
      <c r="T44"/>
      <c r="U44"/>
      <c r="V44"/>
      <c r="W44"/>
      <c r="X44"/>
      <c r="Y44"/>
      <c r="Z44"/>
    </row>
    <row r="45" spans="1:26" s="58" customFormat="1" x14ac:dyDescent="0.35">
      <c r="A45"/>
      <c r="B45"/>
      <c r="C45"/>
      <c r="D45"/>
      <c r="E45"/>
      <c r="F45"/>
      <c r="G45"/>
      <c r="H45"/>
      <c r="I45"/>
      <c r="J45"/>
      <c r="K45"/>
      <c r="L45"/>
      <c r="M45"/>
      <c r="N45"/>
      <c r="O45"/>
      <c r="P45"/>
      <c r="Q45"/>
      <c r="R45"/>
      <c r="S45"/>
      <c r="T45"/>
      <c r="U45"/>
      <c r="V45"/>
      <c r="W45"/>
      <c r="X45"/>
      <c r="Y45"/>
      <c r="Z4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FA9BB-9116-48BF-B633-AF2D18E64E5E}">
  <sheetPr codeName="Sheet6">
    <tabColor theme="5" tint="-0.249977111117893"/>
  </sheetPr>
  <dimension ref="A1:O2091"/>
  <sheetViews>
    <sheetView zoomScale="70" zoomScaleNormal="70" workbookViewId="0">
      <pane xSplit="3" ySplit="2" topLeftCell="D3" activePane="bottomRight" state="frozen"/>
      <selection pane="topRight" activeCell="D1" sqref="D1"/>
      <selection pane="bottomLeft" activeCell="A3" sqref="A3"/>
      <selection pane="bottomRight" activeCell="A3" sqref="A3"/>
    </sheetView>
  </sheetViews>
  <sheetFormatPr defaultRowHeight="14.5" x14ac:dyDescent="0.35"/>
  <cols>
    <col min="1" max="1" width="12.7265625" customWidth="1"/>
    <col min="2" max="2" width="33.7265625" customWidth="1"/>
    <col min="3" max="3" width="27.1796875" customWidth="1"/>
    <col min="4" max="4" width="18.26953125" customWidth="1"/>
    <col min="5" max="6" width="22.1796875" customWidth="1"/>
    <col min="7" max="7" width="27.7265625" customWidth="1"/>
    <col min="8" max="8" width="29.26953125" customWidth="1"/>
    <col min="9" max="9" width="12.1796875" customWidth="1"/>
    <col min="10" max="10" width="20.1796875" customWidth="1"/>
    <col min="11" max="13" width="14.08984375" customWidth="1"/>
    <col min="14" max="14" width="62" customWidth="1"/>
  </cols>
  <sheetData>
    <row r="1" spans="1:15" x14ac:dyDescent="0.35">
      <c r="A1" s="294" t="s">
        <v>152</v>
      </c>
      <c r="B1" s="294"/>
      <c r="C1" s="294"/>
      <c r="D1" s="292" t="s">
        <v>153</v>
      </c>
      <c r="E1" s="292"/>
      <c r="F1" s="292"/>
      <c r="G1" s="292"/>
      <c r="H1" s="292"/>
      <c r="I1" s="292"/>
      <c r="J1" s="292"/>
      <c r="K1" s="293" t="s">
        <v>154</v>
      </c>
      <c r="L1" s="295" t="s">
        <v>136</v>
      </c>
      <c r="M1" s="295"/>
      <c r="N1" s="293" t="s">
        <v>9</v>
      </c>
      <c r="O1" s="58"/>
    </row>
    <row r="2" spans="1:15" x14ac:dyDescent="0.35">
      <c r="A2" s="39" t="s">
        <v>136</v>
      </c>
      <c r="B2" s="37" t="s">
        <v>155</v>
      </c>
      <c r="C2" s="37"/>
      <c r="D2" s="38" t="s">
        <v>156</v>
      </c>
      <c r="E2" s="38" t="s">
        <v>157</v>
      </c>
      <c r="F2" s="38" t="s">
        <v>158</v>
      </c>
      <c r="G2" s="74" t="s">
        <v>159</v>
      </c>
      <c r="H2" s="38" t="s">
        <v>160</v>
      </c>
      <c r="I2" s="38" t="s">
        <v>161</v>
      </c>
      <c r="J2" s="38" t="s">
        <v>162</v>
      </c>
      <c r="K2" s="293"/>
      <c r="L2" s="169" t="s">
        <v>163</v>
      </c>
      <c r="M2" s="169" t="s">
        <v>164</v>
      </c>
      <c r="N2" s="293"/>
      <c r="O2" s="58"/>
    </row>
    <row r="28" ht="39" customHeight="1" x14ac:dyDescent="0.35"/>
    <row r="221" ht="39" customHeight="1" x14ac:dyDescent="0.35"/>
    <row r="329" ht="39" customHeight="1" x14ac:dyDescent="0.35"/>
    <row r="359" ht="39" customHeight="1" x14ac:dyDescent="0.35"/>
    <row r="597" ht="21" customHeight="1" x14ac:dyDescent="0.35"/>
    <row r="789" ht="39" customHeight="1" x14ac:dyDescent="0.35"/>
    <row r="792" ht="39" customHeight="1" x14ac:dyDescent="0.35"/>
    <row r="1153" ht="39" customHeight="1" x14ac:dyDescent="0.35"/>
    <row r="1535" ht="39" customHeight="1" x14ac:dyDescent="0.35"/>
    <row r="2038" ht="39" customHeight="1" x14ac:dyDescent="0.35"/>
    <row r="2083" ht="39" customHeight="1" x14ac:dyDescent="0.35"/>
    <row r="2086" ht="39" customHeight="1" x14ac:dyDescent="0.35"/>
    <row r="2091" ht="39" customHeight="1" x14ac:dyDescent="0.35"/>
  </sheetData>
  <mergeCells count="5">
    <mergeCell ref="A1:C1"/>
    <mergeCell ref="D1:J1"/>
    <mergeCell ref="K1:K2"/>
    <mergeCell ref="L1:M1"/>
    <mergeCell ref="N1:N2"/>
  </mergeCells>
  <conditionalFormatting sqref="I1048576 I1:I2">
    <cfRule type="duplicateValues" dxfId="0" priority="5"/>
  </conditionalFormatting>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E9962-9D50-4371-B926-B99088B651D6}">
  <sheetPr codeName="Sheet7">
    <tabColor rgb="FFFFC000"/>
  </sheetPr>
  <dimension ref="A1:L31"/>
  <sheetViews>
    <sheetView zoomScale="84" zoomScaleNormal="84" workbookViewId="0">
      <pane xSplit="4" ySplit="1" topLeftCell="J56" activePane="bottomRight" state="frozen"/>
      <selection pane="topRight" activeCell="E1" sqref="E1"/>
      <selection pane="bottomLeft" activeCell="A2" sqref="A2"/>
      <selection pane="bottomRight" activeCell="L69" sqref="L69"/>
    </sheetView>
  </sheetViews>
  <sheetFormatPr defaultRowHeight="14.5" x14ac:dyDescent="0.35"/>
  <cols>
    <col min="1" max="1" width="12.1796875" customWidth="1"/>
    <col min="2" max="2" width="24.54296875" customWidth="1"/>
    <col min="3" max="3" width="14.90625" customWidth="1"/>
    <col min="4" max="4" width="16.81640625" customWidth="1"/>
    <col min="5" max="5" width="25.6328125" customWidth="1"/>
    <col min="6" max="6" width="24.08984375" customWidth="1"/>
    <col min="7" max="7" width="17.26953125" customWidth="1"/>
    <col min="8" max="8" width="15.6328125" bestFit="1" customWidth="1"/>
    <col min="9" max="9" width="18.81640625" customWidth="1"/>
    <col min="10" max="10" width="12.26953125" customWidth="1"/>
    <col min="11" max="11" width="32.54296875" customWidth="1"/>
    <col min="12" max="12" width="71.453125" customWidth="1"/>
  </cols>
  <sheetData>
    <row r="1" spans="1:12" x14ac:dyDescent="0.35">
      <c r="A1" s="40" t="s">
        <v>171</v>
      </c>
      <c r="B1" s="41" t="s">
        <v>1</v>
      </c>
      <c r="C1" s="40" t="s">
        <v>127</v>
      </c>
      <c r="D1" s="40" t="s">
        <v>172</v>
      </c>
      <c r="E1" s="41" t="s">
        <v>136</v>
      </c>
      <c r="F1" s="42" t="s">
        <v>137</v>
      </c>
      <c r="G1" s="42" t="s">
        <v>138</v>
      </c>
      <c r="H1" s="42" t="s">
        <v>139</v>
      </c>
      <c r="I1" s="42" t="s">
        <v>8</v>
      </c>
      <c r="J1" s="75" t="s">
        <v>173</v>
      </c>
      <c r="K1" s="41" t="s">
        <v>190</v>
      </c>
      <c r="L1" s="76" t="s">
        <v>9</v>
      </c>
    </row>
    <row r="31" ht="14.5" customHeight="1" x14ac:dyDescent="0.35"/>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ABB-01F9-4681-AFE2-973EF5485A72}">
  <sheetPr codeName="Sheet11">
    <tabColor theme="9" tint="-0.249977111117893"/>
  </sheetPr>
  <dimension ref="A1:M45"/>
  <sheetViews>
    <sheetView topLeftCell="D1" zoomScale="96" zoomScaleNormal="96" workbookViewId="0">
      <pane ySplit="1" topLeftCell="A100" activePane="bottomLeft" state="frozen"/>
      <selection pane="bottomLeft" activeCell="K112" sqref="K112"/>
    </sheetView>
  </sheetViews>
  <sheetFormatPr defaultRowHeight="14.5" x14ac:dyDescent="0.35"/>
  <cols>
    <col min="1" max="1" width="12.453125" bestFit="1" customWidth="1"/>
    <col min="2" max="2" width="37.36328125" customWidth="1"/>
    <col min="3" max="3" width="14.90625" bestFit="1" customWidth="1"/>
    <col min="4" max="4" width="17.54296875" customWidth="1"/>
    <col min="5" max="5" width="26.90625" bestFit="1" customWidth="1"/>
    <col min="6" max="6" width="21.453125" bestFit="1" customWidth="1"/>
    <col min="7" max="7" width="14.7265625" customWidth="1"/>
    <col min="8" max="8" width="7.54296875" customWidth="1"/>
    <col min="9" max="9" width="7.1796875" customWidth="1"/>
    <col min="10" max="10" width="37.453125" bestFit="1" customWidth="1"/>
    <col min="11" max="11" width="12.453125" customWidth="1"/>
    <col min="12" max="12" width="10.7265625" bestFit="1" customWidth="1"/>
    <col min="13" max="13" width="27.453125" customWidth="1"/>
  </cols>
  <sheetData>
    <row r="1" spans="1:13" x14ac:dyDescent="0.35">
      <c r="A1" s="40" t="s">
        <v>171</v>
      </c>
      <c r="B1" s="40" t="s">
        <v>1</v>
      </c>
      <c r="C1" s="40" t="s">
        <v>127</v>
      </c>
      <c r="D1" s="40" t="s">
        <v>211</v>
      </c>
      <c r="E1" s="40" t="s">
        <v>212</v>
      </c>
      <c r="F1" s="40" t="s">
        <v>136</v>
      </c>
      <c r="G1" s="89" t="s">
        <v>137</v>
      </c>
      <c r="H1" s="89" t="s">
        <v>138</v>
      </c>
      <c r="I1" s="89" t="s">
        <v>139</v>
      </c>
      <c r="J1" s="89" t="s">
        <v>8</v>
      </c>
      <c r="K1" s="40" t="s">
        <v>210</v>
      </c>
      <c r="L1" s="40" t="s">
        <v>173</v>
      </c>
      <c r="M1" s="76" t="s">
        <v>9</v>
      </c>
    </row>
    <row r="13" spans="1:13" ht="14.5" customHeight="1" x14ac:dyDescent="0.35"/>
    <row r="15" spans="1:13" ht="14.5" customHeight="1" x14ac:dyDescent="0.35"/>
    <row r="17" ht="14.5" customHeight="1" x14ac:dyDescent="0.35"/>
    <row r="19" ht="14.5" customHeight="1" x14ac:dyDescent="0.35"/>
    <row r="21" ht="14.5" customHeight="1" x14ac:dyDescent="0.35"/>
    <row r="45" ht="14.5" customHeight="1" x14ac:dyDescent="0.35"/>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07975-4100-42BE-8F4E-7FA2D3E960E4}">
  <sheetPr codeName="Sheet9"/>
  <dimension ref="A1:L1"/>
  <sheetViews>
    <sheetView zoomScale="60" zoomScaleNormal="60" workbookViewId="0">
      <pane ySplit="1" topLeftCell="A131" activePane="bottomLeft" state="frozen"/>
      <selection pane="bottomLeft" activeCell="E144" sqref="E144"/>
    </sheetView>
  </sheetViews>
  <sheetFormatPr defaultRowHeight="14.5" x14ac:dyDescent="0.35"/>
  <cols>
    <col min="1" max="1" width="22.1796875" customWidth="1"/>
    <col min="2" max="2" width="15.08984375" customWidth="1"/>
    <col min="4" max="4" width="33.1796875" bestFit="1" customWidth="1"/>
    <col min="5" max="5" width="98" customWidth="1"/>
    <col min="6" max="6" width="13" customWidth="1"/>
    <col min="7" max="7" width="10.90625" customWidth="1"/>
    <col min="8" max="8" width="16" bestFit="1" customWidth="1"/>
    <col min="9" max="9" width="15.6328125" customWidth="1"/>
    <col min="10" max="10" width="22.81640625" customWidth="1"/>
    <col min="11" max="11" width="14.26953125" customWidth="1"/>
    <col min="12" max="12" width="13.36328125" bestFit="1" customWidth="1"/>
    <col min="14" max="14" width="13.1796875" customWidth="1"/>
  </cols>
  <sheetData>
    <row r="1" spans="1:12" x14ac:dyDescent="0.35">
      <c r="A1" s="67" t="s">
        <v>184</v>
      </c>
      <c r="B1" s="67" t="s">
        <v>139</v>
      </c>
      <c r="C1" s="67" t="s">
        <v>185</v>
      </c>
      <c r="D1" s="67" t="s">
        <v>186</v>
      </c>
      <c r="E1" s="67" t="s">
        <v>187</v>
      </c>
      <c r="F1" s="67" t="s">
        <v>157</v>
      </c>
      <c r="G1" s="68" t="s">
        <v>143</v>
      </c>
      <c r="H1" s="69" t="s">
        <v>136</v>
      </c>
      <c r="I1" s="67" t="s">
        <v>1667</v>
      </c>
      <c r="J1" s="67" t="s">
        <v>570</v>
      </c>
      <c r="K1" s="70" t="s">
        <v>188</v>
      </c>
      <c r="L1" s="67" t="s">
        <v>7</v>
      </c>
    </row>
  </sheetData>
  <autoFilter ref="A1:L203" xr:uid="{C3707975-4100-42BE-8F4E-7FA2D3E960E4}"/>
  <sortState xmlns:xlrd2="http://schemas.microsoft.com/office/spreadsheetml/2017/richdata2" ref="N171:O182">
    <sortCondition ref="N171:N182"/>
  </sortState>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AEFDB-16E4-4E61-85D1-0C2FF8E5E399}">
  <sheetPr codeName="Sheet21">
    <tabColor rgb="FF00B050"/>
  </sheetPr>
  <dimension ref="A1:L2"/>
  <sheetViews>
    <sheetView zoomScale="90" zoomScaleNormal="90" workbookViewId="0">
      <pane xSplit="3" ySplit="1" topLeftCell="D65" activePane="bottomRight" state="frozen"/>
      <selection pane="topRight" activeCell="D1" sqref="D1"/>
      <selection pane="bottomLeft" activeCell="A2" sqref="A2"/>
      <selection pane="bottomRight" activeCell="A74" sqref="A74"/>
    </sheetView>
  </sheetViews>
  <sheetFormatPr defaultRowHeight="14.5" x14ac:dyDescent="0.35"/>
  <cols>
    <col min="1" max="1" width="14.81640625" customWidth="1"/>
    <col min="2" max="2" width="11.26953125" customWidth="1"/>
    <col min="3" max="3" width="15.26953125" bestFit="1" customWidth="1"/>
    <col min="4" max="4" width="40.26953125" customWidth="1"/>
    <col min="5" max="5" width="14.26953125" bestFit="1" customWidth="1"/>
    <col min="6" max="6" width="10.6328125" bestFit="1" customWidth="1"/>
    <col min="7" max="7" width="10.453125" customWidth="1"/>
    <col min="8" max="8" width="9.08984375" customWidth="1"/>
    <col min="9" max="9" width="13.26953125" customWidth="1"/>
    <col min="10" max="10" width="45.36328125" customWidth="1"/>
    <col min="11" max="11" width="12.81640625" customWidth="1"/>
    <col min="12" max="12" width="11.26953125" bestFit="1" customWidth="1"/>
  </cols>
  <sheetData>
    <row r="1" spans="1:12" ht="26" x14ac:dyDescent="0.35">
      <c r="A1" s="226" t="s">
        <v>844</v>
      </c>
      <c r="B1" s="231" t="s">
        <v>839</v>
      </c>
      <c r="C1" s="227" t="s">
        <v>296</v>
      </c>
      <c r="D1" s="227" t="s">
        <v>128</v>
      </c>
      <c r="E1" s="232" t="s">
        <v>840</v>
      </c>
      <c r="F1" s="226" t="s">
        <v>841</v>
      </c>
      <c r="G1" s="232" t="s">
        <v>842</v>
      </c>
      <c r="H1" s="230" t="s">
        <v>843</v>
      </c>
      <c r="I1" s="229" t="s">
        <v>849</v>
      </c>
      <c r="J1" s="228" t="s">
        <v>570</v>
      </c>
      <c r="K1" s="228" t="s">
        <v>853</v>
      </c>
      <c r="L1" s="228" t="s">
        <v>854</v>
      </c>
    </row>
    <row r="2" spans="1:12" x14ac:dyDescent="0.35">
      <c r="A2" s="233" t="s">
        <v>851</v>
      </c>
      <c r="B2" s="233" t="s">
        <v>845</v>
      </c>
      <c r="C2" s="139" t="s">
        <v>11</v>
      </c>
      <c r="D2" s="139" t="s">
        <v>810</v>
      </c>
      <c r="E2" s="234" t="s">
        <v>846</v>
      </c>
      <c r="F2" s="235">
        <v>45079</v>
      </c>
      <c r="G2" s="236">
        <v>0.66249999999999998</v>
      </c>
      <c r="H2" s="233" t="s">
        <v>847</v>
      </c>
      <c r="I2" s="233" t="s">
        <v>848</v>
      </c>
      <c r="J2" s="139" t="s">
        <v>850</v>
      </c>
    </row>
  </sheetData>
  <phoneticPr fontId="2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E-Blast</vt:lpstr>
      <vt:lpstr>WAF-Whitelisting</vt:lpstr>
      <vt:lpstr>IDR Daily-Template</vt:lpstr>
      <vt:lpstr>SUMMARY</vt:lpstr>
      <vt:lpstr>E-TEMPLATE</vt:lpstr>
      <vt:lpstr>Firewall</vt:lpstr>
      <vt:lpstr>Request</vt:lpstr>
      <vt:lpstr>DETAILS</vt:lpstr>
      <vt:lpstr>WAF</vt:lpstr>
      <vt:lpstr>Linux</vt:lpstr>
      <vt:lpstr>Brute Force</vt:lpstr>
      <vt:lpstr>IPS</vt:lpstr>
      <vt:lpstr>Lateral Movement</vt:lpstr>
      <vt:lpstr>Harvested Credentials</vt:lpstr>
      <vt:lpstr>Multiple Country Authentication</vt:lpstr>
      <vt:lpstr>Virus Alert</vt:lpstr>
      <vt:lpstr>For-SUAM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JOMAR F. ROBLES</dc:creator>
  <cp:lastModifiedBy>JOMAR F. ROBLES</cp:lastModifiedBy>
  <dcterms:created xsi:type="dcterms:W3CDTF">2022-06-16T00:53:55Z</dcterms:created>
  <dcterms:modified xsi:type="dcterms:W3CDTF">2024-05-07T06:24:31Z</dcterms:modified>
</cp:coreProperties>
</file>